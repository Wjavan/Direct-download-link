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2026-10" sheetId="2" state="visible" r:id="rId2"/>
    <sheet xmlns:r="http://schemas.openxmlformats.org/officeDocument/2006/relationships" name="2026-11" sheetId="3" state="visible" r:id="rId3"/>
    <sheet xmlns:r="http://schemas.openxmlformats.org/officeDocument/2006/relationships" name="2026-12" sheetId="4" state="visible" r:id="rId4"/>
    <sheet xmlns:r="http://schemas.openxmlformats.org/officeDocument/2006/relationships" name="2027-01" sheetId="5" state="visible" r:id="rId5"/>
    <sheet xmlns:r="http://schemas.openxmlformats.org/officeDocument/2006/relationships" name="2027-02" sheetId="6" state="visible" r:id="rId6"/>
    <sheet xmlns:r="http://schemas.openxmlformats.org/officeDocument/2006/relationships" name="2027-03" sheetId="7" state="visible" r:id="rId7"/>
    <sheet xmlns:r="http://schemas.openxmlformats.org/officeDocument/2006/relationships" name="2027-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  <sz val="13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已完成</t>
        </is>
      </c>
      <c r="C1" s="1" t="inlineStr">
        <is>
          <t>未完成</t>
        </is>
      </c>
      <c r="D1" s="1" t="inlineStr">
        <is>
          <t>完成率</t>
        </is>
      </c>
    </row>
    <row r="2">
      <c r="A2" s="2" t="inlineStr">
        <is>
          <t>2026-10</t>
        </is>
      </c>
      <c r="B2" s="2">
        <f>COUNTIF('2026-10'!D2:D1000,"☑ 已完成")</f>
        <v/>
      </c>
      <c r="C2" s="2">
        <f>COUNTIF('2026-10'!D2:D1000,"☐ 未完成")</f>
        <v/>
      </c>
      <c r="D2" s="3">
        <f>B2/(B2+C2)</f>
        <v/>
      </c>
    </row>
    <row r="3">
      <c r="A3" s="2" t="inlineStr">
        <is>
          <t>2026-11</t>
        </is>
      </c>
      <c r="B3" s="2">
        <f>COUNTIF('2026-11'!D2:D1000,"☑ 已完成")</f>
        <v/>
      </c>
      <c r="C3" s="2">
        <f>COUNTIF('2026-11'!D2:D1000,"☐ 未完成")</f>
        <v/>
      </c>
      <c r="D3" s="3">
        <f>B3/(B3+C3)</f>
        <v/>
      </c>
    </row>
    <row r="4">
      <c r="A4" s="2" t="inlineStr">
        <is>
          <t>2026-12</t>
        </is>
      </c>
      <c r="B4" s="2">
        <f>COUNTIF('2026-12'!D2:D1000,"☑ 已完成")</f>
        <v/>
      </c>
      <c r="C4" s="2">
        <f>COUNTIF('2026-12'!D2:D1000,"☐ 未完成")</f>
        <v/>
      </c>
      <c r="D4" s="3">
        <f>B4/(B4+C4)</f>
        <v/>
      </c>
    </row>
    <row r="5">
      <c r="A5" s="2" t="inlineStr">
        <is>
          <t>2027-01</t>
        </is>
      </c>
      <c r="B5" s="2">
        <f>COUNTIF('2027-01'!D2:D1000,"☑ 已完成")</f>
        <v/>
      </c>
      <c r="C5" s="2">
        <f>COUNTIF('2027-01'!D2:D1000,"☐ 未完成")</f>
        <v/>
      </c>
      <c r="D5" s="3">
        <f>B5/(B5+C5)</f>
        <v/>
      </c>
    </row>
    <row r="6">
      <c r="A6" s="2" t="inlineStr">
        <is>
          <t>2027-02</t>
        </is>
      </c>
      <c r="B6" s="2">
        <f>COUNTIF('2027-02'!D2:D1000,"☑ 已完成")</f>
        <v/>
      </c>
      <c r="C6" s="2">
        <f>COUNTIF('2027-02'!D2:D1000,"☐ 未完成")</f>
        <v/>
      </c>
      <c r="D6" s="3">
        <f>B6/(B6+C6)</f>
        <v/>
      </c>
    </row>
    <row r="7">
      <c r="A7" s="2" t="inlineStr">
        <is>
          <t>2027-03</t>
        </is>
      </c>
      <c r="B7" s="2">
        <f>COUNTIF('2027-03'!D2:D1000,"☑ 已完成")</f>
        <v/>
      </c>
      <c r="C7" s="2">
        <f>COUNTIF('2027-03'!D2:D1000,"☐ 未完成")</f>
        <v/>
      </c>
      <c r="D7" s="3">
        <f>B7/(B7+C7)</f>
        <v/>
      </c>
    </row>
    <row r="8">
      <c r="A8" s="2" t="inlineStr">
        <is>
          <t>2027-04</t>
        </is>
      </c>
      <c r="B8" s="2">
        <f>COUNTIF('2027-04'!D2:D1000,"☑ 已完成")</f>
        <v/>
      </c>
      <c r="C8" s="2">
        <f>COUNTIF('2027-04'!D2:D1000,"☐ 未完成")</f>
        <v/>
      </c>
      <c r="D8" s="3">
        <f>B8/(B8+C8)</f>
        <v/>
      </c>
    </row>
    <row r="9">
      <c r="A9" s="4" t="inlineStr">
        <is>
          <t>合计</t>
        </is>
      </c>
      <c r="B9" s="4">
        <f>SUM(B2:B8)</f>
        <v/>
      </c>
      <c r="C9" s="4">
        <f>SUM(C2:C8)</f>
        <v/>
      </c>
      <c r="D9" s="5">
        <f>B9/(B9+C9)</f>
        <v/>
      </c>
    </row>
    <row r="11">
      <c r="A11" s="6" t="inlineStr">
        <is>
          <t>任务倒计时</t>
        </is>
      </c>
    </row>
    <row r="12">
      <c r="A12" s="1" t="inlineStr">
        <is>
          <t>考试</t>
        </is>
      </c>
      <c r="B12" s="1" t="inlineStr">
        <is>
          <t>日期</t>
        </is>
      </c>
      <c r="C12" s="1" t="inlineStr">
        <is>
          <t>剩余天数</t>
        </is>
      </c>
      <c r="D12" s="7" t="n"/>
    </row>
    <row r="13">
      <c r="A13" s="8" t="inlineStr">
        <is>
          <t>CET4</t>
        </is>
      </c>
      <c r="B13" s="9" t="inlineStr">
        <is>
          <t>2026-12-12</t>
        </is>
      </c>
      <c r="C13" s="10">
        <f>DATE(2026,12,12)-TODAY()</f>
        <v/>
      </c>
      <c r="D13" s="2" t="n"/>
    </row>
    <row r="14">
      <c r="A14" s="8" t="inlineStr">
        <is>
          <t>专升本</t>
        </is>
      </c>
      <c r="B14" s="9" t="inlineStr">
        <is>
          <t>2027-04-17</t>
        </is>
      </c>
      <c r="C14" s="10">
        <f>DATE(2027,4,17)-TODAY()</f>
        <v/>
      </c>
      <c r="D14" s="2" t="n"/>
    </row>
  </sheetData>
  <mergeCells count="4">
    <mergeCell ref="C14:D14"/>
    <mergeCell ref="C12:D12"/>
    <mergeCell ref="C13:D1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2026-10-02</t>
        </is>
      </c>
      <c r="B2" s="8" t="inlineStr">
        <is>
          <t>周五</t>
        </is>
      </c>
      <c r="C2" s="13" t="inlineStr">
        <is>
          <t>1.高等数学（30分钟）：同济第1章·函数与极限 §1.1（约P1–11）·概念理解+例题精做+库课18套2题（库课第1套）</t>
        </is>
      </c>
      <c r="D2" s="14" t="inlineStr">
        <is>
          <t>☐ 未完成</t>
        </is>
      </c>
      <c r="E2" s="15">
        <f>COUNTIF(D2:D8,"☑ 已完成")/COUNTA(C2:C8)</f>
        <v/>
      </c>
      <c r="F2" s="14" t="n"/>
      <c r="G2" s="16" t="inlineStr"/>
    </row>
    <row r="3" ht="36" customHeight="1">
      <c r="C3" s="13" t="inlineStr">
        <is>
          <t>2.专升本英语（30分钟）：锐树网课《入门课》精看+笔记标注→库课2000题词汇语法约15题</t>
        </is>
      </c>
      <c r="D3" s="14" t="inlineStr">
        <is>
          <t>☐ 未完成</t>
        </is>
      </c>
    </row>
    <row r="4" ht="36" customHeight="1">
      <c r="C4" s="13" t="inlineStr">
        <is>
          <t>3.四级阅读（45分钟）：新东方Unit1·Passage1-2限时(8min/篇)</t>
        </is>
      </c>
      <c r="D4" s="14" t="inlineStr">
        <is>
          <t>☐ 未完成</t>
        </is>
      </c>
    </row>
    <row r="5" ht="20" customHeight="1">
      <c r="C5" s="13" t="inlineStr">
        <is>
          <t>4.四级听力（30分钟）：新东方Day1·短新闻+长对话</t>
        </is>
      </c>
      <c r="D5" s="14" t="inlineStr">
        <is>
          <t>☐ 未完成</t>
        </is>
      </c>
    </row>
    <row r="6" ht="36" customHeight="1">
      <c r="C6" s="17" t="inlineStr">
        <is>
          <t>5.词汇（45分钟）：不背单词APP四级词本新35词+复习（主动回忆法）</t>
        </is>
      </c>
      <c r="D6" s="14" t="inlineStr">
        <is>
          <t>☐ 未完成</t>
        </is>
      </c>
    </row>
    <row r="7" ht="20" customHeight="1">
      <c r="C7" s="13" t="inlineStr">
        <is>
          <t>6.写作翻译（30分钟）：闪过真题·写作模板背诵+仿写1篇</t>
        </is>
      </c>
      <c r="D7" s="14" t="inlineStr">
        <is>
          <t>☐ 未完成</t>
        </is>
      </c>
    </row>
    <row r="8" ht="20" customHeight="1">
      <c r="C8" s="18" t="inlineStr">
        <is>
          <t>7.机动（30分钟）：整理高数错因(概念/计算/审题分类)</t>
        </is>
      </c>
      <c r="D8" s="14" t="inlineStr">
        <is>
          <t>☐ 未完成</t>
        </is>
      </c>
    </row>
    <row r="9" ht="36" customHeight="1">
      <c r="A9" s="12" t="inlineStr">
        <is>
          <t>2026-10-03</t>
        </is>
      </c>
      <c r="B9" s="8" t="inlineStr">
        <is>
          <t>周六</t>
        </is>
      </c>
      <c r="C9" s="13" t="inlineStr">
        <is>
          <t>1.高等数学（30分钟）：复习第1章·函数与极限 §1.1（约P1–11）→复习对应A日内容+库课18套2道新大题（库课第1套）</t>
        </is>
      </c>
      <c r="D9" s="14" t="inlineStr">
        <is>
          <t>☐ 未完成</t>
        </is>
      </c>
      <c r="E9" s="15">
        <f>COUNTIF(D9:D14,"☑ 已完成")/COUNTA(C9:C14)</f>
        <v/>
      </c>
      <c r="F9" s="14" t="n"/>
      <c r="G9" s="16" t="inlineStr"/>
    </row>
    <row r="10" ht="36" customHeight="1">
      <c r="C10" s="13" t="inlineStr">
        <is>
          <t>2.专升本英语（30分钟）：库课2000题词汇语法·第1-5题巩固+错题标注</t>
        </is>
      </c>
      <c r="D10" s="14" t="inlineStr">
        <is>
          <t>☐ 未完成</t>
        </is>
      </c>
    </row>
    <row r="11" ht="36" customHeight="1">
      <c r="C11" s="13" t="inlineStr">
        <is>
          <t>3.四级阅读（60分钟）：新东方Unit1·Passage1-3限时+生词复习</t>
        </is>
      </c>
      <c r="D11" s="14" t="inlineStr">
        <is>
          <t>☐ 未完成</t>
        </is>
      </c>
    </row>
    <row r="12" ht="20" customHeight="1">
      <c r="C12" s="13" t="inlineStr">
        <is>
          <t>4.四级听力（60分钟）：新东方Day1·完整训练+影子跟读</t>
        </is>
      </c>
      <c r="D12" s="14" t="inlineStr">
        <is>
          <t>☐ 未完成</t>
        </is>
      </c>
    </row>
    <row r="13" ht="36" customHeight="1">
      <c r="C13" s="17" t="inlineStr">
        <is>
          <t>5.词汇（45分钟）：不背单词APP四级词本新35词+复习（本周新词巩固）</t>
        </is>
      </c>
      <c r="D13" s="14" t="inlineStr">
        <is>
          <t>☐ 未完成</t>
        </is>
      </c>
    </row>
    <row r="14" ht="20" customHeight="1">
      <c r="C14" s="13" t="inlineStr">
        <is>
          <t>6.写作翻译（15分钟）：闪过真题·翻译练习(英译汉5句)</t>
        </is>
      </c>
      <c r="D14" s="14" t="inlineStr">
        <is>
          <t>☐ 未完成</t>
        </is>
      </c>
    </row>
    <row r="15" ht="36" customHeight="1">
      <c r="A15" s="12" t="inlineStr">
        <is>
          <t>2026-10-04</t>
        </is>
      </c>
      <c r="B15" s="8" t="inlineStr">
        <is>
          <t>周日</t>
        </is>
      </c>
      <c r="C15" s="13" t="inlineStr">
        <is>
          <t>1.数学模考：同济已学章节阶段自测(总习题+已学库课题)完整卷2小时估分</t>
        </is>
      </c>
      <c r="D15" s="14" t="inlineStr">
        <is>
          <t>☐ 未完成</t>
        </is>
      </c>
      <c r="E15" s="15">
        <f>COUNTIF(D15:D16,"☑ 已完成")/COUNTA(C15:C16)</f>
        <v/>
      </c>
      <c r="F15" s="14" t="n"/>
      <c r="G15" s="16" t="inlineStr">
        <is>
          <t>模考日</t>
        </is>
      </c>
    </row>
    <row r="16" ht="20" customHeight="1">
      <c r="C16" s="18" t="inlineStr">
        <is>
          <t>2.错题归因+周复盘+下周计划+进度自查</t>
        </is>
      </c>
      <c r="D16" s="14" t="inlineStr">
        <is>
          <t>☐ 未完成</t>
        </is>
      </c>
    </row>
    <row r="17" ht="36" customHeight="1">
      <c r="A17" s="12" t="inlineStr">
        <is>
          <t>2026-10-05</t>
        </is>
      </c>
      <c r="B17" s="8" t="inlineStr">
        <is>
          <t>周一</t>
        </is>
      </c>
      <c r="C17" s="13" t="inlineStr">
        <is>
          <t>1.高等数学（30分钟）：同济第1章·函数与极限 §1.2（约P11–21）·续讲精做+例题演练+库课18套2题（库课第1套）</t>
        </is>
      </c>
      <c r="D17" s="14" t="inlineStr">
        <is>
          <t>☐ 未完成</t>
        </is>
      </c>
      <c r="E17" s="15">
        <f>COUNTIF(D17:D23,"☑ 已完成")/COUNTA(C17:C23)</f>
        <v/>
      </c>
      <c r="F17" s="14" t="n"/>
      <c r="G17" s="16" t="inlineStr"/>
    </row>
    <row r="18" ht="36" customHeight="1">
      <c r="C18" s="13" t="inlineStr">
        <is>
          <t>2.专升本英语（30分钟）：锐树网课《名词(一)(二)》精看+笔记标注→库课2000题词汇语法约15题</t>
        </is>
      </c>
      <c r="D18" s="14" t="inlineStr">
        <is>
          <t>☐ 未完成</t>
        </is>
      </c>
    </row>
    <row r="19" ht="36" customHeight="1">
      <c r="C19" s="13" t="inlineStr">
        <is>
          <t>3.四级阅读（45分钟）：新东方Unit2·Passage1-2限时(8min/篇)</t>
        </is>
      </c>
      <c r="D19" s="14" t="inlineStr">
        <is>
          <t>☐ 未完成</t>
        </is>
      </c>
    </row>
    <row r="20" ht="20" customHeight="1">
      <c r="C20" s="13" t="inlineStr">
        <is>
          <t>4.四级听力（30分钟）：新东方Day2·短文理解+讲座</t>
        </is>
      </c>
      <c r="D20" s="14" t="inlineStr">
        <is>
          <t>☐ 未完成</t>
        </is>
      </c>
    </row>
    <row r="21" ht="36" customHeight="1">
      <c r="C21" s="17" t="inlineStr">
        <is>
          <t>5.词汇（45分钟）：不背单词APP四级词本新35词+复习（错词清零+标记）</t>
        </is>
      </c>
      <c r="D21" s="14" t="inlineStr">
        <is>
          <t>☐ 未完成</t>
        </is>
      </c>
    </row>
    <row r="22" ht="20" customHeight="1">
      <c r="C22" s="13" t="inlineStr">
        <is>
          <t>6.写作翻译（30分钟）：闪过真题·翻译练习(汉译英5句)</t>
        </is>
      </c>
      <c r="D22" s="14" t="inlineStr">
        <is>
          <t>☐ 未完成</t>
        </is>
      </c>
    </row>
    <row r="23" ht="20" customHeight="1">
      <c r="C23" s="18" t="inlineStr">
        <is>
          <t>7.机动（30分钟）：锐树网课笔记回顾+语法考点整理</t>
        </is>
      </c>
      <c r="D23" s="14" t="inlineStr">
        <is>
          <t>☐ 未完成</t>
        </is>
      </c>
    </row>
    <row r="24" ht="36" customHeight="1">
      <c r="A24" s="12" t="inlineStr">
        <is>
          <t>2026-10-06</t>
        </is>
      </c>
      <c r="B24" s="8" t="inlineStr">
        <is>
          <t>周二</t>
        </is>
      </c>
      <c r="C24" s="13" t="inlineStr">
        <is>
          <t>1.高等数学（30分钟）：复习第1章·函数与极限 §1.2（约P11–21）→概念公式默写+库课18套2道计算题（库课第1套）</t>
        </is>
      </c>
      <c r="D24" s="14" t="inlineStr">
        <is>
          <t>☐ 未完成</t>
        </is>
      </c>
      <c r="E24" s="15">
        <f>COUNTIF(D24:D29,"☑ 已完成")/COUNTA(C24:C29)</f>
        <v/>
      </c>
      <c r="F24" s="14" t="n"/>
      <c r="G24" s="16" t="inlineStr"/>
    </row>
    <row r="25" ht="36" customHeight="1">
      <c r="C25" s="13" t="inlineStr">
        <is>
          <t>2.专升本英语（30分钟）：库课2000题词汇语法·第6-10题错题重做</t>
        </is>
      </c>
      <c r="D25" s="14" t="inlineStr">
        <is>
          <t>☐ 未完成</t>
        </is>
      </c>
    </row>
    <row r="26" ht="36" customHeight="1">
      <c r="C26" s="13" t="inlineStr">
        <is>
          <t>3.四级阅读（60分钟）：新东方Unit2·Passage1-3限时+生词复习</t>
        </is>
      </c>
      <c r="D26" s="14" t="inlineStr">
        <is>
          <t>☐ 未完成</t>
        </is>
      </c>
    </row>
    <row r="27" ht="20" customHeight="1">
      <c r="C27" s="13" t="inlineStr">
        <is>
          <t>4.四级听力（60分钟）：新东方Day2·完整训练+影子跟读</t>
        </is>
      </c>
      <c r="D27" s="14" t="inlineStr">
        <is>
          <t>☐ 未完成</t>
        </is>
      </c>
    </row>
    <row r="28" ht="36" customHeight="1">
      <c r="C28" s="17" t="inlineStr">
        <is>
          <t>5.词汇（45分钟）：不背单词APP四级词本新35词+复习（默写本听写验证）</t>
        </is>
      </c>
      <c r="D28" s="14" t="inlineStr">
        <is>
          <t>☐ 未完成</t>
        </is>
      </c>
    </row>
    <row r="29" ht="20" customHeight="1">
      <c r="C29" s="13" t="inlineStr">
        <is>
          <t>6.写作翻译（15分钟）：闪过真题·写作模板回顾+限时写作1篇</t>
        </is>
      </c>
      <c r="D29" s="14" t="inlineStr">
        <is>
          <t>☐ 未完成</t>
        </is>
      </c>
    </row>
    <row r="30" ht="36" customHeight="1">
      <c r="A30" s="12" t="inlineStr">
        <is>
          <t>2026-10-07</t>
        </is>
      </c>
      <c r="B30" s="8" t="inlineStr">
        <is>
          <t>周三</t>
        </is>
      </c>
      <c r="C30" s="13" t="inlineStr">
        <is>
          <t>1.高等数学（30分钟）：同济第1章·函数与极限 §1.3（约P21–30）·课后习题+综合练习+库课18套2题（库课第1套）</t>
        </is>
      </c>
      <c r="D30" s="14" t="inlineStr">
        <is>
          <t>☐ 未完成</t>
        </is>
      </c>
      <c r="E30" s="15">
        <f>COUNTIF(D30:D36,"☑ 已完成")/COUNTA(C30:C36)</f>
        <v/>
      </c>
      <c r="F30" s="14" t="n"/>
      <c r="G30" s="16" t="inlineStr"/>
    </row>
    <row r="31" ht="36" customHeight="1">
      <c r="C31" s="18" t="inlineStr">
        <is>
          <t>2.专升本英语（30分钟）：锐树网课《入门课＋名词(一)(二)》难点回看+综合练习→库课2000题词汇语法约15题</t>
        </is>
      </c>
      <c r="D31" s="14" t="inlineStr">
        <is>
          <t>☐ 未完成</t>
        </is>
      </c>
    </row>
    <row r="32" ht="20" customHeight="1">
      <c r="C32" s="13" t="inlineStr">
        <is>
          <t>3.四级阅读（45分钟）：Unit1-2·错题重做2篇</t>
        </is>
      </c>
      <c r="D32" s="14" t="inlineStr">
        <is>
          <t>☐ 未完成</t>
        </is>
      </c>
    </row>
    <row r="33" ht="20" customHeight="1">
      <c r="C33" s="13" t="inlineStr">
        <is>
          <t>4.四级听力（30分钟）：Day1-2·错题重听+影子跟读</t>
        </is>
      </c>
      <c r="D33" s="14" t="inlineStr">
        <is>
          <t>☐ 未完成</t>
        </is>
      </c>
    </row>
    <row r="34" ht="36" customHeight="1">
      <c r="C34" s="17" t="inlineStr">
        <is>
          <t>5.词汇（45分钟）：不背单词APP四级词本新35词+复习（生词重点巩固）</t>
        </is>
      </c>
      <c r="D34" s="14" t="inlineStr">
        <is>
          <t>☐ 未完成</t>
        </is>
      </c>
    </row>
    <row r="35" ht="20" customHeight="1">
      <c r="C35" s="13" t="inlineStr">
        <is>
          <t>6.写作翻译（30分钟）：闪过真题·写作+翻译综合练习</t>
        </is>
      </c>
      <c r="D35" s="14" t="inlineStr">
        <is>
          <t>☐ 未完成</t>
        </is>
      </c>
    </row>
    <row r="36" ht="20" customHeight="1">
      <c r="C36" s="18" t="inlineStr">
        <is>
          <t>7.机动（30分钟）：进度自查+错题归因+改进计划</t>
        </is>
      </c>
      <c r="D36" s="14" t="inlineStr">
        <is>
          <t>☐ 未完成</t>
        </is>
      </c>
    </row>
    <row r="37" ht="36" customHeight="1">
      <c r="A37" s="12" t="inlineStr">
        <is>
          <t>2026-10-08</t>
        </is>
      </c>
      <c r="B37" s="8" t="inlineStr">
        <is>
          <t>周四</t>
        </is>
      </c>
      <c r="C37" s="13" t="inlineStr">
        <is>
          <t>1.高等数学（30分钟）：复习第1章·函数与极限 §1.3（约P21–30）→综合复习+库课18套错题重做（库课第1套）</t>
        </is>
      </c>
      <c r="D37" s="14" t="inlineStr">
        <is>
          <t>☐ 未完成</t>
        </is>
      </c>
      <c r="E37" s="15">
        <f>COUNTIF(D37:D42,"☑ 已完成")/COUNTA(C37:C42)</f>
        <v/>
      </c>
      <c r="F37" s="14" t="n"/>
      <c r="G37" s="16" t="inlineStr"/>
    </row>
    <row r="38" ht="36" customHeight="1">
      <c r="C38" s="18" t="inlineStr">
        <is>
          <t>2.专升本英语（30分钟）：库课2000题词汇语法·第11-15题+本周错题总复习</t>
        </is>
      </c>
      <c r="D38" s="14" t="inlineStr">
        <is>
          <t>☐ 未完成</t>
        </is>
      </c>
    </row>
    <row r="39" ht="20" customHeight="1">
      <c r="C39" s="13" t="inlineStr">
        <is>
          <t>3.四级阅读（60分钟）：Unit1-2·限时4篇+错题分析</t>
        </is>
      </c>
      <c r="D39" s="14" t="inlineStr">
        <is>
          <t>☐ 未完成</t>
        </is>
      </c>
    </row>
    <row r="40" ht="20" customHeight="1">
      <c r="C40" s="13" t="inlineStr">
        <is>
          <t>4.四级听力（60分钟）：Day1-2·关键词默写+跟读</t>
        </is>
      </c>
      <c r="D40" s="14" t="inlineStr">
        <is>
          <t>☐ 未完成</t>
        </is>
      </c>
    </row>
    <row r="41" ht="36" customHeight="1">
      <c r="C41" s="18" t="inlineStr">
        <is>
          <t>5.词汇（45分钟）：不背单词APP四级词本新35词+复习（本周词汇总复习）</t>
        </is>
      </c>
      <c r="D41" s="14" t="inlineStr">
        <is>
          <t>☐ 未完成</t>
        </is>
      </c>
    </row>
    <row r="42" ht="20" customHeight="1">
      <c r="C42" s="13" t="inlineStr">
        <is>
          <t>6.写作翻译（15分钟）：闪过真题·翻译练习(英译汉5句)</t>
        </is>
      </c>
      <c r="D42" s="14" t="inlineStr">
        <is>
          <t>☐ 未完成</t>
        </is>
      </c>
    </row>
    <row r="43" ht="36" customHeight="1">
      <c r="A43" s="12" t="inlineStr">
        <is>
          <t>2026-10-09</t>
        </is>
      </c>
      <c r="B43" s="8" t="inlineStr">
        <is>
          <t>周五</t>
        </is>
      </c>
      <c r="C43" s="13" t="inlineStr">
        <is>
          <t>1.高等数学（30分钟）：同济第1章·函数与极限 §1.4–5（约P30–36）·概念理解+例题精做+库课18套2题（库课第2套）</t>
        </is>
      </c>
      <c r="D43" s="14" t="inlineStr">
        <is>
          <t>☐ 未完成</t>
        </is>
      </c>
      <c r="E43" s="15">
        <f>COUNTIF(D43:D49,"☑ 已完成")/COUNTA(C43:C49)</f>
        <v/>
      </c>
      <c r="F43" s="14" t="n"/>
      <c r="G43" s="16" t="inlineStr"/>
    </row>
    <row r="44" ht="36" customHeight="1">
      <c r="C44" s="13" t="inlineStr">
        <is>
          <t>2.专升本英语（30分钟）：锐树网课《代词(一)(二)》精看+笔记标注→库课2000题词汇语法约15题</t>
        </is>
      </c>
      <c r="D44" s="14" t="inlineStr">
        <is>
          <t>☐ 未完成</t>
        </is>
      </c>
    </row>
    <row r="45" ht="36" customHeight="1">
      <c r="C45" s="13" t="inlineStr">
        <is>
          <t>3.四级阅读（45分钟）：新东方Unit3·Passage1-2限时(8min/篇)</t>
        </is>
      </c>
      <c r="D45" s="14" t="inlineStr">
        <is>
          <t>☐ 未完成</t>
        </is>
      </c>
    </row>
    <row r="46" ht="20" customHeight="1">
      <c r="C46" s="13" t="inlineStr">
        <is>
          <t>4.四级听力（30分钟）：新东方Day3·短新闻+长对话</t>
        </is>
      </c>
      <c r="D46" s="14" t="inlineStr">
        <is>
          <t>☐ 未完成</t>
        </is>
      </c>
    </row>
    <row r="47" ht="36" customHeight="1">
      <c r="C47" s="17" t="inlineStr">
        <is>
          <t>5.词汇（45分钟）：不背单词APP四级词本新35词+复习（主动回忆法）</t>
        </is>
      </c>
      <c r="D47" s="14" t="inlineStr">
        <is>
          <t>☐ 未完成</t>
        </is>
      </c>
    </row>
    <row r="48" ht="20" customHeight="1">
      <c r="C48" s="13" t="inlineStr">
        <is>
          <t>6.写作翻译（30分钟）：闪过真题·写作模板背诵+仿写1篇</t>
        </is>
      </c>
      <c r="D48" s="14" t="inlineStr">
        <is>
          <t>☐ 未完成</t>
        </is>
      </c>
    </row>
    <row r="49" ht="20" customHeight="1">
      <c r="C49" s="18" t="inlineStr">
        <is>
          <t>7.机动（30分钟）：整理高数错因(概念/计算/审题分类)</t>
        </is>
      </c>
      <c r="D49" s="14" t="inlineStr">
        <is>
          <t>☐ 未完成</t>
        </is>
      </c>
    </row>
    <row r="50" ht="52" customHeight="1">
      <c r="A50" s="12" t="inlineStr">
        <is>
          <t>2026-10-10</t>
        </is>
      </c>
      <c r="B50" s="8" t="inlineStr">
        <is>
          <t>周六</t>
        </is>
      </c>
      <c r="C50" s="13" t="inlineStr">
        <is>
          <t>1.高等数学（30分钟）：复习第1章·函数与极限 §1.4–5（约P30–36）→复习对应A日内容+库课18套2道新大题（库课第2套）</t>
        </is>
      </c>
      <c r="D50" s="14" t="inlineStr">
        <is>
          <t>☐ 未完成</t>
        </is>
      </c>
      <c r="E50" s="15">
        <f>COUNTIF(D50:D55,"☑ 已完成")/COUNTA(C50:C55)</f>
        <v/>
      </c>
      <c r="F50" s="14" t="n"/>
      <c r="G50" s="16" t="inlineStr"/>
    </row>
    <row r="51" ht="36" customHeight="1">
      <c r="C51" s="13" t="inlineStr">
        <is>
          <t>2.专升本英语（30分钟）：库课2000题词汇语法·第1-5题巩固+错题标注</t>
        </is>
      </c>
      <c r="D51" s="14" t="inlineStr">
        <is>
          <t>☐ 未完成</t>
        </is>
      </c>
    </row>
    <row r="52" ht="36" customHeight="1">
      <c r="C52" s="13" t="inlineStr">
        <is>
          <t>3.四级阅读（60分钟）：新东方Unit3·Passage1-3限时+生词复习</t>
        </is>
      </c>
      <c r="D52" s="14" t="inlineStr">
        <is>
          <t>☐ 未完成</t>
        </is>
      </c>
    </row>
    <row r="53" ht="20" customHeight="1">
      <c r="C53" s="13" t="inlineStr">
        <is>
          <t>4.四级听力（60分钟）：新东方Day3·完整训练+影子跟读</t>
        </is>
      </c>
      <c r="D53" s="14" t="inlineStr">
        <is>
          <t>☐ 未完成</t>
        </is>
      </c>
    </row>
    <row r="54" ht="36" customHeight="1">
      <c r="C54" s="17" t="inlineStr">
        <is>
          <t>5.词汇（45分钟）：不背单词APP四级词本新35词+复习（本周新词巩固）</t>
        </is>
      </c>
      <c r="D54" s="14" t="inlineStr">
        <is>
          <t>☐ 未完成</t>
        </is>
      </c>
    </row>
    <row r="55" ht="20" customHeight="1">
      <c r="C55" s="13" t="inlineStr">
        <is>
          <t>6.写作翻译（15分钟）：闪过真题·翻译练习(英译汉5句)</t>
        </is>
      </c>
      <c r="D55" s="14" t="inlineStr">
        <is>
          <t>☐ 未完成</t>
        </is>
      </c>
    </row>
    <row r="56" ht="20" customHeight="1">
      <c r="A56" s="12" t="inlineStr">
        <is>
          <t>2026-10-11</t>
        </is>
      </c>
      <c r="B56" s="8" t="inlineStr">
        <is>
          <t>周日</t>
        </is>
      </c>
      <c r="C56" s="13" t="inlineStr">
        <is>
          <t>1.四级模考：闪过真题第1套完整真题2小时按710分估分</t>
        </is>
      </c>
      <c r="D56" s="14" t="inlineStr">
        <is>
          <t>☐ 未完成</t>
        </is>
      </c>
      <c r="E56" s="15">
        <f>COUNTIF(D56:D57,"☑ 已完成")/COUNTA(C56:C57)</f>
        <v/>
      </c>
      <c r="F56" s="14" t="n"/>
      <c r="G56" s="16" t="inlineStr">
        <is>
          <t>模考日</t>
        </is>
      </c>
    </row>
    <row r="57" ht="20" customHeight="1">
      <c r="C57" s="18" t="inlineStr">
        <is>
          <t>2.错题归因+周复盘+下周计划</t>
        </is>
      </c>
      <c r="D57" s="14" t="inlineStr">
        <is>
          <t>☐ 未完成</t>
        </is>
      </c>
    </row>
    <row r="58" ht="36" customHeight="1">
      <c r="A58" s="12" t="inlineStr">
        <is>
          <t>2026-10-12</t>
        </is>
      </c>
      <c r="B58" s="8" t="inlineStr">
        <is>
          <t>周一</t>
        </is>
      </c>
      <c r="C58" s="13" t="inlineStr">
        <is>
          <t>1.高等数学（30分钟）：同济第1章·函数与极限 §1.6–7（约P36–42）·续讲精做+例题演练+库课18套2题（库课第2套）</t>
        </is>
      </c>
      <c r="D58" s="14" t="inlineStr">
        <is>
          <t>☐ 未完成</t>
        </is>
      </c>
      <c r="E58" s="15">
        <f>COUNTIF(D58:D64,"☑ 已完成")/COUNTA(C58:C64)</f>
        <v/>
      </c>
      <c r="F58" s="14" t="n"/>
      <c r="G58" s="16" t="inlineStr"/>
    </row>
    <row r="59" ht="36" customHeight="1">
      <c r="C59" s="13" t="inlineStr">
        <is>
          <t>2.专升本英语（30分钟）：锐树网课《形容词和副词(一)》精看+笔记标注→库课2000题词汇语法约15题</t>
        </is>
      </c>
      <c r="D59" s="14" t="inlineStr">
        <is>
          <t>☐ 未完成</t>
        </is>
      </c>
    </row>
    <row r="60" ht="36" customHeight="1">
      <c r="C60" s="13" t="inlineStr">
        <is>
          <t>3.四级阅读（45分钟）：新东方Unit4·Passage1-2限时(8min/篇)</t>
        </is>
      </c>
      <c r="D60" s="14" t="inlineStr">
        <is>
          <t>☐ 未完成</t>
        </is>
      </c>
    </row>
    <row r="61" ht="20" customHeight="1">
      <c r="C61" s="13" t="inlineStr">
        <is>
          <t>4.四级听力（30分钟）：新东方Day4·短文理解+讲座</t>
        </is>
      </c>
      <c r="D61" s="14" t="inlineStr">
        <is>
          <t>☐ 未完成</t>
        </is>
      </c>
    </row>
    <row r="62" ht="36" customHeight="1">
      <c r="C62" s="17" t="inlineStr">
        <is>
          <t>5.词汇（45分钟）：不背单词APP四级词本新35词+复习（错词清零+标记）</t>
        </is>
      </c>
      <c r="D62" s="14" t="inlineStr">
        <is>
          <t>☐ 未完成</t>
        </is>
      </c>
    </row>
    <row r="63" ht="20" customHeight="1">
      <c r="C63" s="13" t="inlineStr">
        <is>
          <t>6.写作翻译（30分钟）：闪过真题·翻译练习(汉译英5句)</t>
        </is>
      </c>
      <c r="D63" s="14" t="inlineStr">
        <is>
          <t>☐ 未完成</t>
        </is>
      </c>
    </row>
    <row r="64" ht="20" customHeight="1">
      <c r="C64" s="18" t="inlineStr">
        <is>
          <t>7.机动（30分钟）：锐树网课笔记回顾+语法考点整理</t>
        </is>
      </c>
      <c r="D64" s="14" t="inlineStr">
        <is>
          <t>☐ 未完成</t>
        </is>
      </c>
    </row>
    <row r="65" ht="36" customHeight="1">
      <c r="A65" s="12" t="inlineStr">
        <is>
          <t>2026-10-13</t>
        </is>
      </c>
      <c r="B65" s="8" t="inlineStr">
        <is>
          <t>周二</t>
        </is>
      </c>
      <c r="C65" s="13" t="inlineStr">
        <is>
          <t>1.高等数学（30分钟）：复习第1章·函数与极限 §1.6–7（约P36–42）→概念公式默写+库课18套2道计算题（库课第2套）</t>
        </is>
      </c>
      <c r="D65" s="14" t="inlineStr">
        <is>
          <t>☐ 未完成</t>
        </is>
      </c>
      <c r="E65" s="15">
        <f>COUNTIF(D65:D70,"☑ 已完成")/COUNTA(C65:C70)</f>
        <v/>
      </c>
      <c r="F65" s="14" t="n"/>
      <c r="G65" s="16" t="inlineStr"/>
    </row>
    <row r="66" ht="36" customHeight="1">
      <c r="C66" s="13" t="inlineStr">
        <is>
          <t>2.专升本英语（30分钟）：库课2000题词汇语法·第6-10题错题重做</t>
        </is>
      </c>
      <c r="D66" s="14" t="inlineStr">
        <is>
          <t>☐ 未完成</t>
        </is>
      </c>
    </row>
    <row r="67" ht="36" customHeight="1">
      <c r="C67" s="13" t="inlineStr">
        <is>
          <t>3.四级阅读（60分钟）：新东方Unit4·Passage1-3限时+生词复习</t>
        </is>
      </c>
      <c r="D67" s="14" t="inlineStr">
        <is>
          <t>☐ 未完成</t>
        </is>
      </c>
    </row>
    <row r="68" ht="20" customHeight="1">
      <c r="C68" s="13" t="inlineStr">
        <is>
          <t>4.四级听力（60分钟）：新东方Day4·完整训练+影子跟读</t>
        </is>
      </c>
      <c r="D68" s="14" t="inlineStr">
        <is>
          <t>☐ 未完成</t>
        </is>
      </c>
    </row>
    <row r="69" ht="36" customHeight="1">
      <c r="C69" s="17" t="inlineStr">
        <is>
          <t>5.词汇（45分钟）：不背单词APP四级词本新35词+复习（默写本听写验证）</t>
        </is>
      </c>
      <c r="D69" s="14" t="inlineStr">
        <is>
          <t>☐ 未完成</t>
        </is>
      </c>
    </row>
    <row r="70" ht="20" customHeight="1">
      <c r="C70" s="13" t="inlineStr">
        <is>
          <t>6.写作翻译（15分钟）：闪过真题·写作模板回顾+限时写作1篇</t>
        </is>
      </c>
      <c r="D70" s="14" t="inlineStr">
        <is>
          <t>☐ 未完成</t>
        </is>
      </c>
    </row>
    <row r="71" ht="36" customHeight="1">
      <c r="A71" s="12" t="inlineStr">
        <is>
          <t>2026-10-14</t>
        </is>
      </c>
      <c r="B71" s="8" t="inlineStr">
        <is>
          <t>周三</t>
        </is>
      </c>
      <c r="C71" s="13" t="inlineStr">
        <is>
          <t>1.高等数学（30分钟）：同济第1章·函数与极限 §1.8（约P42–48）·课后习题+综合练习+库课18套2题（库课第2套）</t>
        </is>
      </c>
      <c r="D71" s="14" t="inlineStr">
        <is>
          <t>☐ 未完成</t>
        </is>
      </c>
      <c r="E71" s="15">
        <f>COUNTIF(D71:D77,"☑ 已完成")/COUNTA(C71:C77)</f>
        <v/>
      </c>
      <c r="F71" s="14" t="n"/>
      <c r="G71" s="16" t="inlineStr"/>
    </row>
    <row r="72" ht="36" customHeight="1">
      <c r="C72" s="18" t="inlineStr">
        <is>
          <t>2.专升本英语（30分钟）：锐树网课《代词(一)(二)＋形容词和副词(一)》难点回看+综合练习→库课2000题词汇语法约15题</t>
        </is>
      </c>
      <c r="D72" s="14" t="inlineStr">
        <is>
          <t>☐ 未完成</t>
        </is>
      </c>
    </row>
    <row r="73" ht="20" customHeight="1">
      <c r="C73" s="13" t="inlineStr">
        <is>
          <t>3.四级阅读（45分钟）：Unit3-4·错题重做2篇</t>
        </is>
      </c>
      <c r="D73" s="14" t="inlineStr">
        <is>
          <t>☐ 未完成</t>
        </is>
      </c>
    </row>
    <row r="74" ht="20" customHeight="1">
      <c r="C74" s="13" t="inlineStr">
        <is>
          <t>4.四级听力（30分钟）：Day3-4·错题重听+影子跟读</t>
        </is>
      </c>
      <c r="D74" s="14" t="inlineStr">
        <is>
          <t>☐ 未完成</t>
        </is>
      </c>
    </row>
    <row r="75" ht="36" customHeight="1">
      <c r="C75" s="17" t="inlineStr">
        <is>
          <t>5.词汇（45分钟）：不背单词APP四级词本新35词+复习（生词重点巩固）</t>
        </is>
      </c>
      <c r="D75" s="14" t="inlineStr">
        <is>
          <t>☐ 未完成</t>
        </is>
      </c>
    </row>
    <row r="76" ht="20" customHeight="1">
      <c r="C76" s="13" t="inlineStr">
        <is>
          <t>6.写作翻译（30分钟）：闪过真题·写作+翻译综合练习</t>
        </is>
      </c>
      <c r="D76" s="14" t="inlineStr">
        <is>
          <t>☐ 未完成</t>
        </is>
      </c>
    </row>
    <row r="77" ht="20" customHeight="1">
      <c r="C77" s="18" t="inlineStr">
        <is>
          <t>7.机动（30分钟）：进度自查+错题归因+改进计划</t>
        </is>
      </c>
      <c r="D77" s="14" t="inlineStr">
        <is>
          <t>☐ 未完成</t>
        </is>
      </c>
    </row>
    <row r="78" ht="36" customHeight="1">
      <c r="A78" s="12" t="inlineStr">
        <is>
          <t>2026-10-15</t>
        </is>
      </c>
      <c r="B78" s="8" t="inlineStr">
        <is>
          <t>周四</t>
        </is>
      </c>
      <c r="C78" s="13" t="inlineStr">
        <is>
          <t>1.高等数学（30分钟）：复习第1章·函数与极限 §1.8（约P42–48）→综合复习+库课18套错题重做（库课第2套）</t>
        </is>
      </c>
      <c r="D78" s="14" t="inlineStr">
        <is>
          <t>☐ 未完成</t>
        </is>
      </c>
      <c r="E78" s="15">
        <f>COUNTIF(D78:D83,"☑ 已完成")/COUNTA(C78:C83)</f>
        <v/>
      </c>
      <c r="F78" s="14" t="n"/>
      <c r="G78" s="16" t="inlineStr"/>
    </row>
    <row r="79" ht="36" customHeight="1">
      <c r="C79" s="18" t="inlineStr">
        <is>
          <t>2.专升本英语（30分钟）：库课2000题词汇语法·第11-15题+本周错题总复习</t>
        </is>
      </c>
      <c r="D79" s="14" t="inlineStr">
        <is>
          <t>☐ 未完成</t>
        </is>
      </c>
    </row>
    <row r="80" ht="20" customHeight="1">
      <c r="C80" s="13" t="inlineStr">
        <is>
          <t>3.四级阅读（60分钟）：Unit3-4·限时4篇+错题分析</t>
        </is>
      </c>
      <c r="D80" s="14" t="inlineStr">
        <is>
          <t>☐ 未完成</t>
        </is>
      </c>
    </row>
    <row r="81" ht="20" customHeight="1">
      <c r="C81" s="13" t="inlineStr">
        <is>
          <t>4.四级听力（60分钟）：Day3-4·关键词默写+跟读</t>
        </is>
      </c>
      <c r="D81" s="14" t="inlineStr">
        <is>
          <t>☐ 未完成</t>
        </is>
      </c>
    </row>
    <row r="82" ht="36" customHeight="1">
      <c r="C82" s="18" t="inlineStr">
        <is>
          <t>5.词汇（45分钟）：不背单词APP四级词本新35词+复习（本周词汇总复习）</t>
        </is>
      </c>
      <c r="D82" s="14" t="inlineStr">
        <is>
          <t>☐ 未完成</t>
        </is>
      </c>
    </row>
    <row r="83" ht="20" customHeight="1">
      <c r="C83" s="13" t="inlineStr">
        <is>
          <t>6.写作翻译（15分钟）：闪过真题·翻译练习(英译汉5句)</t>
        </is>
      </c>
      <c r="D83" s="14" t="inlineStr">
        <is>
          <t>☐ 未完成</t>
        </is>
      </c>
    </row>
    <row r="84" ht="36" customHeight="1">
      <c r="A84" s="12" t="inlineStr">
        <is>
          <t>2026-10-16</t>
        </is>
      </c>
      <c r="B84" s="8" t="inlineStr">
        <is>
          <t>周五</t>
        </is>
      </c>
      <c r="C84" s="13" t="inlineStr">
        <is>
          <t>1.高等数学（30分钟）：同济第2章·导数与微分 §2.1（约P50–59）·概念理解+例题精做+库课18套2题（库课第3套）</t>
        </is>
      </c>
      <c r="D84" s="14" t="inlineStr">
        <is>
          <t>☐ 未完成</t>
        </is>
      </c>
      <c r="E84" s="15">
        <f>COUNTIF(D84:D90,"☑ 已完成")/COUNTA(C84:C90)</f>
        <v/>
      </c>
      <c r="F84" s="14" t="n"/>
      <c r="G84" s="16" t="inlineStr"/>
    </row>
    <row r="85" ht="36" customHeight="1">
      <c r="C85" s="13" t="inlineStr">
        <is>
          <t>2.专升本英语（30分钟）：锐树网课《形容词和副词(二)》精看+笔记标注→库课2000题词汇语法约15题</t>
        </is>
      </c>
      <c r="D85" s="14" t="inlineStr">
        <is>
          <t>☐ 未完成</t>
        </is>
      </c>
    </row>
    <row r="86" ht="36" customHeight="1">
      <c r="C86" s="13" t="inlineStr">
        <is>
          <t>3.四级阅读（45分钟）：新东方Unit5·Passage1-2限时(8min/篇)</t>
        </is>
      </c>
      <c r="D86" s="14" t="inlineStr">
        <is>
          <t>☐ 未完成</t>
        </is>
      </c>
    </row>
    <row r="87" ht="20" customHeight="1">
      <c r="C87" s="13" t="inlineStr">
        <is>
          <t>4.四级听力（30分钟）：新东方Day5·短新闻+长对话</t>
        </is>
      </c>
      <c r="D87" s="14" t="inlineStr">
        <is>
          <t>☐ 未完成</t>
        </is>
      </c>
    </row>
    <row r="88" ht="36" customHeight="1">
      <c r="C88" s="17" t="inlineStr">
        <is>
          <t>5.词汇（45分钟）：不背单词APP四级词本新35词+复习（主动回忆法）</t>
        </is>
      </c>
      <c r="D88" s="14" t="inlineStr">
        <is>
          <t>☐ 未完成</t>
        </is>
      </c>
    </row>
    <row r="89" ht="20" customHeight="1">
      <c r="C89" s="13" t="inlineStr">
        <is>
          <t>6.写作翻译（30分钟）：闪过真题·写作模板背诵+仿写1篇</t>
        </is>
      </c>
      <c r="D89" s="14" t="inlineStr">
        <is>
          <t>☐ 未完成</t>
        </is>
      </c>
    </row>
    <row r="90" ht="20" customHeight="1">
      <c r="C90" s="18" t="inlineStr">
        <is>
          <t>7.机动（30分钟）：整理高数错因(概念/计算/审题分类)</t>
        </is>
      </c>
      <c r="D90" s="14" t="inlineStr">
        <is>
          <t>☐ 未完成</t>
        </is>
      </c>
    </row>
    <row r="91" ht="36" customHeight="1">
      <c r="A91" s="12" t="inlineStr">
        <is>
          <t>2026-10-17</t>
        </is>
      </c>
      <c r="B91" s="8" t="inlineStr">
        <is>
          <t>周六</t>
        </is>
      </c>
      <c r="C91" s="13" t="inlineStr">
        <is>
          <t>1.高等数学（30分钟）：复习第2章·导数与微分 §2.1（约P50–59）→复习对应A日内容+库课18套2道新大题（库课第3套）</t>
        </is>
      </c>
      <c r="D91" s="14" t="inlineStr">
        <is>
          <t>☐ 未完成</t>
        </is>
      </c>
      <c r="E91" s="15">
        <f>COUNTIF(D91:D96,"☑ 已完成")/COUNTA(C91:C96)</f>
        <v/>
      </c>
      <c r="F91" s="14" t="n"/>
      <c r="G91" s="16" t="inlineStr"/>
    </row>
    <row r="92" ht="36" customHeight="1">
      <c r="C92" s="13" t="inlineStr">
        <is>
          <t>2.专升本英语（30分钟）：库课2000题词汇语法·第1-5题巩固+错题标注</t>
        </is>
      </c>
      <c r="D92" s="14" t="inlineStr">
        <is>
          <t>☐ 未完成</t>
        </is>
      </c>
    </row>
    <row r="93" ht="36" customHeight="1">
      <c r="C93" s="13" t="inlineStr">
        <is>
          <t>3.四级阅读（60分钟）：新东方Unit5·Passage1-3限时+生词复习</t>
        </is>
      </c>
      <c r="D93" s="14" t="inlineStr">
        <is>
          <t>☐ 未完成</t>
        </is>
      </c>
    </row>
    <row r="94" ht="20" customHeight="1">
      <c r="C94" s="13" t="inlineStr">
        <is>
          <t>4.四级听力（60分钟）：新东方Day5·完整训练+影子跟读</t>
        </is>
      </c>
      <c r="D94" s="14" t="inlineStr">
        <is>
          <t>☐ 未完成</t>
        </is>
      </c>
    </row>
    <row r="95" ht="36" customHeight="1">
      <c r="C95" s="17" t="inlineStr">
        <is>
          <t>5.词汇（45分钟）：不背单词APP四级词本新35词+复习（本周新词巩固）</t>
        </is>
      </c>
      <c r="D95" s="14" t="inlineStr">
        <is>
          <t>☐ 未完成</t>
        </is>
      </c>
    </row>
    <row r="96" ht="20" customHeight="1">
      <c r="C96" s="13" t="inlineStr">
        <is>
          <t>6.写作翻译（15分钟）：闪过真题·翻译练习(英译汉5句)</t>
        </is>
      </c>
      <c r="D96" s="14" t="inlineStr">
        <is>
          <t>☐ 未完成</t>
        </is>
      </c>
    </row>
    <row r="97" ht="36" customHeight="1">
      <c r="A97" s="12" t="inlineStr">
        <is>
          <t>2026-10-18</t>
        </is>
      </c>
      <c r="B97" s="8" t="inlineStr">
        <is>
          <t>周日</t>
        </is>
      </c>
      <c r="C97" s="13" t="inlineStr">
        <is>
          <t>1.数学模考：同济已学章节阶段自测(总习题+已学库课题)完整卷2小时估分</t>
        </is>
      </c>
      <c r="D97" s="14" t="inlineStr">
        <is>
          <t>☐ 未完成</t>
        </is>
      </c>
      <c r="E97" s="15">
        <f>COUNTIF(D97:D98,"☑ 已完成")/COUNTA(C97:C98)</f>
        <v/>
      </c>
      <c r="F97" s="14" t="n"/>
      <c r="G97" s="16" t="inlineStr">
        <is>
          <t>模考日</t>
        </is>
      </c>
    </row>
    <row r="98" ht="20" customHeight="1">
      <c r="C98" s="18" t="inlineStr">
        <is>
          <t>2.错题归因+周复盘+下周计划+进度自查</t>
        </is>
      </c>
      <c r="D98" s="14" t="inlineStr">
        <is>
          <t>☐ 未完成</t>
        </is>
      </c>
    </row>
    <row r="99" ht="36" customHeight="1">
      <c r="A99" s="12" t="inlineStr">
        <is>
          <t>2026-10-19</t>
        </is>
      </c>
      <c r="B99" s="8" t="inlineStr">
        <is>
          <t>周一</t>
        </is>
      </c>
      <c r="C99" s="13" t="inlineStr">
        <is>
          <t>1.高等数学（30分钟）：同济第2章·导数与微分 §2.2（约P59–68）·续讲精做+例题演练+库课18套2题（库课第3套）</t>
        </is>
      </c>
      <c r="D99" s="14" t="inlineStr">
        <is>
          <t>☐ 未完成</t>
        </is>
      </c>
      <c r="E99" s="15">
        <f>COUNTIF(D99:D105,"☑ 已完成")/COUNTA(C99:C105)</f>
        <v/>
      </c>
      <c r="F99" s="14" t="n"/>
      <c r="G99" s="16" t="inlineStr"/>
    </row>
    <row r="100" ht="36" customHeight="1">
      <c r="C100" s="13" t="inlineStr">
        <is>
          <t>2.专升本英语（30分钟）：锐树网课《连词介词(一)(二)》精看+笔记标注→库课2000题词汇语法约15题</t>
        </is>
      </c>
      <c r="D100" s="14" t="inlineStr">
        <is>
          <t>☐ 未完成</t>
        </is>
      </c>
    </row>
    <row r="101" ht="36" customHeight="1">
      <c r="C101" s="13" t="inlineStr">
        <is>
          <t>3.四级阅读（45分钟）：新东方Unit6·Passage1-2限时(8min/篇)</t>
        </is>
      </c>
      <c r="D101" s="14" t="inlineStr">
        <is>
          <t>☐ 未完成</t>
        </is>
      </c>
    </row>
    <row r="102" ht="20" customHeight="1">
      <c r="C102" s="13" t="inlineStr">
        <is>
          <t>4.四级听力（30分钟）：新东方Day6·短文理解+讲座</t>
        </is>
      </c>
      <c r="D102" s="14" t="inlineStr">
        <is>
          <t>☐ 未完成</t>
        </is>
      </c>
    </row>
    <row r="103" ht="36" customHeight="1">
      <c r="C103" s="17" t="inlineStr">
        <is>
          <t>5.词汇（45分钟）：不背单词APP四级词本新35词+复习（错词清零+标记）</t>
        </is>
      </c>
      <c r="D103" s="14" t="inlineStr">
        <is>
          <t>☐ 未完成</t>
        </is>
      </c>
    </row>
    <row r="104" ht="20" customHeight="1">
      <c r="C104" s="13" t="inlineStr">
        <is>
          <t>6.写作翻译（30分钟）：闪过真题·翻译练习(汉译英5句)</t>
        </is>
      </c>
      <c r="D104" s="14" t="inlineStr">
        <is>
          <t>☐ 未完成</t>
        </is>
      </c>
    </row>
    <row r="105" ht="20" customHeight="1">
      <c r="C105" s="18" t="inlineStr">
        <is>
          <t>7.机动（30分钟）：锐树网课笔记回顾+语法考点整理</t>
        </is>
      </c>
      <c r="D105" s="14" t="inlineStr">
        <is>
          <t>☐ 未完成</t>
        </is>
      </c>
    </row>
    <row r="106" ht="36" customHeight="1">
      <c r="A106" s="12" t="inlineStr">
        <is>
          <t>2026-10-20</t>
        </is>
      </c>
      <c r="B106" s="8" t="inlineStr">
        <is>
          <t>周二</t>
        </is>
      </c>
      <c r="C106" s="13" t="inlineStr">
        <is>
          <t>1.高等数学（30分钟）：复习第2章·导数与微分 §2.2（约P59–68）→概念公式默写+库课18套2道计算题（库课第3套）</t>
        </is>
      </c>
      <c r="D106" s="14" t="inlineStr">
        <is>
          <t>☐ 未完成</t>
        </is>
      </c>
      <c r="E106" s="15">
        <f>COUNTIF(D106:D111,"☑ 已完成")/COUNTA(C106:C111)</f>
        <v/>
      </c>
      <c r="F106" s="14" t="n"/>
      <c r="G106" s="16" t="inlineStr"/>
    </row>
    <row r="107" ht="36" customHeight="1">
      <c r="C107" s="13" t="inlineStr">
        <is>
          <t>2.专升本英语（30分钟）：库课2000题词汇语法·第6-10题错题重做</t>
        </is>
      </c>
      <c r="D107" s="14" t="inlineStr">
        <is>
          <t>☐ 未完成</t>
        </is>
      </c>
    </row>
    <row r="108" ht="36" customHeight="1">
      <c r="C108" s="13" t="inlineStr">
        <is>
          <t>3.四级阅读（60分钟）：新东方Unit6·Passage1-3限时+生词复习</t>
        </is>
      </c>
      <c r="D108" s="14" t="inlineStr">
        <is>
          <t>☐ 未完成</t>
        </is>
      </c>
    </row>
    <row r="109" ht="20" customHeight="1">
      <c r="C109" s="13" t="inlineStr">
        <is>
          <t>4.四级听力（60分钟）：新东方Day6·完整训练+影子跟读</t>
        </is>
      </c>
      <c r="D109" s="14" t="inlineStr">
        <is>
          <t>☐ 未完成</t>
        </is>
      </c>
    </row>
    <row r="110" ht="36" customHeight="1">
      <c r="C110" s="17" t="inlineStr">
        <is>
          <t>5.词汇（45分钟）：不背单词APP四级词本新35词+复习（默写本听写验证）</t>
        </is>
      </c>
      <c r="D110" s="14" t="inlineStr">
        <is>
          <t>☐ 未完成</t>
        </is>
      </c>
    </row>
    <row r="111" ht="20" customHeight="1">
      <c r="C111" s="13" t="inlineStr">
        <is>
          <t>6.写作翻译（15分钟）：闪过真题·写作模板回顾+限时写作1篇</t>
        </is>
      </c>
      <c r="D111" s="14" t="inlineStr">
        <is>
          <t>☐ 未完成</t>
        </is>
      </c>
    </row>
    <row r="112" ht="52" customHeight="1">
      <c r="A112" s="12" t="inlineStr">
        <is>
          <t>2026-10-21</t>
        </is>
      </c>
      <c r="B112" s="8" t="inlineStr">
        <is>
          <t>周三</t>
        </is>
      </c>
      <c r="C112" s="13" t="inlineStr">
        <is>
          <t>1.高等数学（30分钟）：同济第2章·导数与微分 §2.1–2(全节综合)（约P68–78）·课后习题+综合练习+库课18套2题（库课第3套）</t>
        </is>
      </c>
      <c r="D112" s="14" t="inlineStr">
        <is>
          <t>☐ 未完成</t>
        </is>
      </c>
      <c r="E112" s="15">
        <f>COUNTIF(D112:D118,"☑ 已完成")/COUNTA(C112:C118)</f>
        <v/>
      </c>
      <c r="F112" s="14" t="n"/>
      <c r="G112" s="16" t="inlineStr"/>
    </row>
    <row r="113" ht="52" customHeight="1">
      <c r="C113" s="18" t="inlineStr">
        <is>
          <t>2.专升本英语（30分钟）：锐树网课《形容词和副词(二)＋连词介词(一)(二)》难点回看+综合练习→库课2000题词汇语法约15题</t>
        </is>
      </c>
      <c r="D113" s="14" t="inlineStr">
        <is>
          <t>☐ 未完成</t>
        </is>
      </c>
    </row>
    <row r="114" ht="20" customHeight="1">
      <c r="C114" s="13" t="inlineStr">
        <is>
          <t>3.四级阅读（45分钟）：Unit5-6·错题重做2篇</t>
        </is>
      </c>
      <c r="D114" s="14" t="inlineStr">
        <is>
          <t>☐ 未完成</t>
        </is>
      </c>
    </row>
    <row r="115" ht="20" customHeight="1">
      <c r="C115" s="13" t="inlineStr">
        <is>
          <t>4.四级听力（30分钟）：Day5-6·错题重听+影子跟读</t>
        </is>
      </c>
      <c r="D115" s="14" t="inlineStr">
        <is>
          <t>☐ 未完成</t>
        </is>
      </c>
    </row>
    <row r="116" ht="36" customHeight="1">
      <c r="C116" s="17" t="inlineStr">
        <is>
          <t>5.词汇（45分钟）：不背单词APP四级词本新35词+复习（生词重点巩固）</t>
        </is>
      </c>
      <c r="D116" s="14" t="inlineStr">
        <is>
          <t>☐ 未完成</t>
        </is>
      </c>
    </row>
    <row r="117" ht="20" customHeight="1">
      <c r="C117" s="13" t="inlineStr">
        <is>
          <t>6.写作翻译（30分钟）：闪过真题·写作+翻译综合练习</t>
        </is>
      </c>
      <c r="D117" s="14" t="inlineStr">
        <is>
          <t>☐ 未完成</t>
        </is>
      </c>
    </row>
    <row r="118" ht="20" customHeight="1">
      <c r="C118" s="18" t="inlineStr">
        <is>
          <t>7.机动（30分钟）：进度自查+错题归因+改进计划</t>
        </is>
      </c>
      <c r="D118" s="14" t="inlineStr">
        <is>
          <t>☐ 未完成</t>
        </is>
      </c>
    </row>
    <row r="119" ht="52" customHeight="1">
      <c r="A119" s="12" t="inlineStr">
        <is>
          <t>2026-10-22</t>
        </is>
      </c>
      <c r="B119" s="8" t="inlineStr">
        <is>
          <t>周四</t>
        </is>
      </c>
      <c r="C119" s="13" t="inlineStr">
        <is>
          <t>1.高等数学（30分钟）：复习第2章·导数与微分 §2.1–2(全节综合)（约P68–78）→综合复习+库课18套错题重做（库课第3套）</t>
        </is>
      </c>
      <c r="D119" s="14" t="inlineStr">
        <is>
          <t>☐ 未完成</t>
        </is>
      </c>
      <c r="E119" s="15">
        <f>COUNTIF(D119:D124,"☑ 已完成")/COUNTA(C119:C124)</f>
        <v/>
      </c>
      <c r="F119" s="14" t="n"/>
      <c r="G119" s="16" t="inlineStr"/>
    </row>
    <row r="120" ht="36" customHeight="1">
      <c r="C120" s="18" t="inlineStr">
        <is>
          <t>2.专升本英语（30分钟）：库课2000题词汇语法·第11-15题+本周错题总复习</t>
        </is>
      </c>
      <c r="D120" s="14" t="inlineStr">
        <is>
          <t>☐ 未完成</t>
        </is>
      </c>
    </row>
    <row r="121" ht="20" customHeight="1">
      <c r="C121" s="13" t="inlineStr">
        <is>
          <t>3.四级阅读（60分钟）：Unit5-6·限时4篇+错题分析</t>
        </is>
      </c>
      <c r="D121" s="14" t="inlineStr">
        <is>
          <t>☐ 未完成</t>
        </is>
      </c>
    </row>
    <row r="122" ht="20" customHeight="1">
      <c r="C122" s="13" t="inlineStr">
        <is>
          <t>4.四级听力（60分钟）：Day5-6·关键词默写+跟读</t>
        </is>
      </c>
      <c r="D122" s="14" t="inlineStr">
        <is>
          <t>☐ 未完成</t>
        </is>
      </c>
    </row>
    <row r="123" ht="36" customHeight="1">
      <c r="C123" s="18" t="inlineStr">
        <is>
          <t>5.词汇（45分钟）：不背单词APP四级词本新35词+复习（本周词汇总复习）</t>
        </is>
      </c>
      <c r="D123" s="14" t="inlineStr">
        <is>
          <t>☐ 未完成</t>
        </is>
      </c>
    </row>
    <row r="124" ht="20" customHeight="1">
      <c r="C124" s="13" t="inlineStr">
        <is>
          <t>6.写作翻译（15分钟）：闪过真题·翻译练习(英译汉5句)</t>
        </is>
      </c>
      <c r="D124" s="14" t="inlineStr">
        <is>
          <t>☐ 未完成</t>
        </is>
      </c>
    </row>
    <row r="125" ht="36" customHeight="1">
      <c r="A125" s="12" t="inlineStr">
        <is>
          <t>2026-10-23</t>
        </is>
      </c>
      <c r="B125" s="8" t="inlineStr">
        <is>
          <t>周五</t>
        </is>
      </c>
      <c r="C125" s="13" t="inlineStr">
        <is>
          <t>1.高等数学（30分钟）：同济第2章·导数与微分 §2.3（约P78–84）·概念理解+例题精做+库课18套2题（库课第4套）</t>
        </is>
      </c>
      <c r="D125" s="14" t="inlineStr">
        <is>
          <t>☐ 未完成</t>
        </is>
      </c>
      <c r="E125" s="15">
        <f>COUNTIF(D125:D131,"☑ 已完成")/COUNTA(C125:C131)</f>
        <v/>
      </c>
      <c r="F125" s="14" t="n"/>
      <c r="G125" s="16" t="inlineStr"/>
    </row>
    <row r="126" ht="36" customHeight="1">
      <c r="C126" s="13" t="inlineStr">
        <is>
          <t>2.专升本英语（30分钟）：锐树网课《数和冠词(一)(二)》精看+笔记标注→库课2000题词汇语法约15题</t>
        </is>
      </c>
      <c r="D126" s="14" t="inlineStr">
        <is>
          <t>☐ 未完成</t>
        </is>
      </c>
    </row>
    <row r="127" ht="36" customHeight="1">
      <c r="C127" s="13" t="inlineStr">
        <is>
          <t>3.四级阅读（45分钟）：新东方Unit7·Passage1-2限时(8min/篇)</t>
        </is>
      </c>
      <c r="D127" s="14" t="inlineStr">
        <is>
          <t>☐ 未完成</t>
        </is>
      </c>
    </row>
    <row r="128" ht="20" customHeight="1">
      <c r="C128" s="13" t="inlineStr">
        <is>
          <t>4.四级听力（30分钟）：新东方Day7·短新闻+长对话</t>
        </is>
      </c>
      <c r="D128" s="14" t="inlineStr">
        <is>
          <t>☐ 未完成</t>
        </is>
      </c>
    </row>
    <row r="129" ht="36" customHeight="1">
      <c r="C129" s="17" t="inlineStr">
        <is>
          <t>5.词汇（45分钟）：不背单词APP四级词本新35词+复习（主动回忆法）</t>
        </is>
      </c>
      <c r="D129" s="14" t="inlineStr">
        <is>
          <t>☐ 未完成</t>
        </is>
      </c>
    </row>
    <row r="130" ht="20" customHeight="1">
      <c r="C130" s="13" t="inlineStr">
        <is>
          <t>6.写作翻译（30分钟）：闪过真题·写作模板背诵+仿写1篇</t>
        </is>
      </c>
      <c r="D130" s="14" t="inlineStr">
        <is>
          <t>☐ 未完成</t>
        </is>
      </c>
    </row>
    <row r="131" ht="20" customHeight="1">
      <c r="C131" s="18" t="inlineStr">
        <is>
          <t>7.机动（30分钟）：整理高数错因(概念/计算/审题分类)</t>
        </is>
      </c>
      <c r="D131" s="14" t="inlineStr">
        <is>
          <t>☐ 未完成</t>
        </is>
      </c>
    </row>
    <row r="132" ht="36" customHeight="1">
      <c r="A132" s="12" t="inlineStr">
        <is>
          <t>2026-10-24</t>
        </is>
      </c>
      <c r="B132" s="8" t="inlineStr">
        <is>
          <t>周六</t>
        </is>
      </c>
      <c r="C132" s="13" t="inlineStr">
        <is>
          <t>1.高等数学（30分钟）：复习第2章·导数与微分 §2.3（约P78–84）→复习对应A日内容+库课18套2道新大题（库课第4套）</t>
        </is>
      </c>
      <c r="D132" s="14" t="inlineStr">
        <is>
          <t>☐ 未完成</t>
        </is>
      </c>
      <c r="E132" s="15">
        <f>COUNTIF(D132:D137,"☑ 已完成")/COUNTA(C132:C137)</f>
        <v/>
      </c>
      <c r="F132" s="14" t="n"/>
      <c r="G132" s="16" t="inlineStr"/>
    </row>
    <row r="133" ht="36" customHeight="1">
      <c r="C133" s="13" t="inlineStr">
        <is>
          <t>2.专升本英语（30分钟）：库课2000题词汇语法·第1-5题巩固+错题标注</t>
        </is>
      </c>
      <c r="D133" s="14" t="inlineStr">
        <is>
          <t>☐ 未完成</t>
        </is>
      </c>
    </row>
    <row r="134" ht="36" customHeight="1">
      <c r="C134" s="13" t="inlineStr">
        <is>
          <t>3.四级阅读（60分钟）：新东方Unit7·Passage1-3限时+生词复习</t>
        </is>
      </c>
      <c r="D134" s="14" t="inlineStr">
        <is>
          <t>☐ 未完成</t>
        </is>
      </c>
    </row>
    <row r="135" ht="20" customHeight="1">
      <c r="C135" s="13" t="inlineStr">
        <is>
          <t>4.四级听力（60分钟）：新东方Day7·完整训练+影子跟读</t>
        </is>
      </c>
      <c r="D135" s="14" t="inlineStr">
        <is>
          <t>☐ 未完成</t>
        </is>
      </c>
    </row>
    <row r="136" ht="36" customHeight="1">
      <c r="C136" s="17" t="inlineStr">
        <is>
          <t>5.词汇（45分钟）：不背单词APP四级词本新35词+复习（本周新词巩固）</t>
        </is>
      </c>
      <c r="D136" s="14" t="inlineStr">
        <is>
          <t>☐ 未完成</t>
        </is>
      </c>
    </row>
    <row r="137" ht="20" customHeight="1">
      <c r="C137" s="13" t="inlineStr">
        <is>
          <t>6.写作翻译（15分钟）：闪过真题·翻译练习(英译汉5句)</t>
        </is>
      </c>
      <c r="D137" s="14" t="inlineStr">
        <is>
          <t>☐ 未完成</t>
        </is>
      </c>
    </row>
    <row r="138" ht="20" customHeight="1">
      <c r="A138" s="12" t="inlineStr">
        <is>
          <t>2026-10-25</t>
        </is>
      </c>
      <c r="B138" s="8" t="inlineStr">
        <is>
          <t>周日</t>
        </is>
      </c>
      <c r="C138" s="13" t="inlineStr">
        <is>
          <t>1.四级模考：闪过真题第2套完整真题2小时按710分估分</t>
        </is>
      </c>
      <c r="D138" s="14" t="inlineStr">
        <is>
          <t>☐ 未完成</t>
        </is>
      </c>
      <c r="E138" s="15">
        <f>COUNTIF(D138:D139,"☑ 已完成")/COUNTA(C138:C139)</f>
        <v/>
      </c>
      <c r="F138" s="14" t="n"/>
      <c r="G138" s="16" t="inlineStr">
        <is>
          <t>模考日</t>
        </is>
      </c>
    </row>
    <row r="139" ht="20" customHeight="1">
      <c r="C139" s="18" t="inlineStr">
        <is>
          <t>2.错题归因+周复盘+下周计划</t>
        </is>
      </c>
      <c r="D139" s="14" t="inlineStr">
        <is>
          <t>☐ 未完成</t>
        </is>
      </c>
    </row>
    <row r="140" ht="36" customHeight="1">
      <c r="A140" s="12" t="inlineStr">
        <is>
          <t>2026-10-26</t>
        </is>
      </c>
      <c r="B140" s="8" t="inlineStr">
        <is>
          <t>周一</t>
        </is>
      </c>
      <c r="C140" s="13" t="inlineStr">
        <is>
          <t>1.高等数学（30分钟）：同济第2章·导数与微分 §2.4（约P84–90）·续讲精做+例题演练+库课18套2题（库课第4套）</t>
        </is>
      </c>
      <c r="D140" s="14" t="inlineStr">
        <is>
          <t>☐ 未完成</t>
        </is>
      </c>
      <c r="E140" s="15">
        <f>COUNTIF(D140:D146,"☑ 已完成")/COUNTA(C140:C146)</f>
        <v/>
      </c>
      <c r="F140" s="14" t="n"/>
      <c r="G140" s="16" t="inlineStr"/>
    </row>
    <row r="141" ht="36" customHeight="1">
      <c r="C141" s="13" t="inlineStr">
        <is>
          <t>2.专升本英语（30分钟）：锐树网课《动词的分类(一)》精看+笔记标注→库课2000题词汇语法约15题</t>
        </is>
      </c>
      <c r="D141" s="14" t="inlineStr">
        <is>
          <t>☐ 未完成</t>
        </is>
      </c>
    </row>
    <row r="142" ht="36" customHeight="1">
      <c r="C142" s="13" t="inlineStr">
        <is>
          <t>3.四级阅读（45分钟）：新东方Unit8·Passage1-2限时(8min/篇)</t>
        </is>
      </c>
      <c r="D142" s="14" t="inlineStr">
        <is>
          <t>☐ 未完成</t>
        </is>
      </c>
    </row>
    <row r="143" ht="20" customHeight="1">
      <c r="C143" s="13" t="inlineStr">
        <is>
          <t>4.四级听力（30分钟）：新东方Day8·短文理解+讲座</t>
        </is>
      </c>
      <c r="D143" s="14" t="inlineStr">
        <is>
          <t>☐ 未完成</t>
        </is>
      </c>
    </row>
    <row r="144" ht="36" customHeight="1">
      <c r="C144" s="17" t="inlineStr">
        <is>
          <t>5.词汇（45分钟）：不背单词APP四级词本新35词+复习（错词清零+标记）</t>
        </is>
      </c>
      <c r="D144" s="14" t="inlineStr">
        <is>
          <t>☐ 未完成</t>
        </is>
      </c>
    </row>
    <row r="145" ht="20" customHeight="1">
      <c r="C145" s="13" t="inlineStr">
        <is>
          <t>6.写作翻译（30分钟）：闪过真题·翻译练习(汉译英5句)</t>
        </is>
      </c>
      <c r="D145" s="14" t="inlineStr">
        <is>
          <t>☐ 未完成</t>
        </is>
      </c>
    </row>
    <row r="146" ht="20" customHeight="1">
      <c r="C146" s="18" t="inlineStr">
        <is>
          <t>7.机动（30分钟）：锐树网课笔记回顾+语法考点整理</t>
        </is>
      </c>
      <c r="D146" s="14" t="inlineStr">
        <is>
          <t>☐ 未完成</t>
        </is>
      </c>
    </row>
    <row r="147" ht="36" customHeight="1">
      <c r="A147" s="12" t="inlineStr">
        <is>
          <t>2026-10-27</t>
        </is>
      </c>
      <c r="B147" s="8" t="inlineStr">
        <is>
          <t>周二</t>
        </is>
      </c>
      <c r="C147" s="13" t="inlineStr">
        <is>
          <t>1.高等数学（30分钟）：复习第2章·导数与微分 §2.4（约P84–90）→概念公式默写+库课18套2道计算题（库课第4套）</t>
        </is>
      </c>
      <c r="D147" s="14" t="inlineStr">
        <is>
          <t>☐ 未完成</t>
        </is>
      </c>
      <c r="E147" s="15">
        <f>COUNTIF(D147:D152,"☑ 已完成")/COUNTA(C147:C152)</f>
        <v/>
      </c>
      <c r="F147" s="14" t="n"/>
      <c r="G147" s="16" t="inlineStr"/>
    </row>
    <row r="148" ht="36" customHeight="1">
      <c r="C148" s="13" t="inlineStr">
        <is>
          <t>2.专升本英语（30分钟）：库课2000题词汇语法·第6-10题错题重做</t>
        </is>
      </c>
      <c r="D148" s="14" t="inlineStr">
        <is>
          <t>☐ 未完成</t>
        </is>
      </c>
    </row>
    <row r="149" ht="36" customHeight="1">
      <c r="C149" s="13" t="inlineStr">
        <is>
          <t>3.四级阅读（60分钟）：新东方Unit8·Passage1-3限时+生词复习</t>
        </is>
      </c>
      <c r="D149" s="14" t="inlineStr">
        <is>
          <t>☐ 未完成</t>
        </is>
      </c>
    </row>
    <row r="150" ht="20" customHeight="1">
      <c r="C150" s="13" t="inlineStr">
        <is>
          <t>4.四级听力（60分钟）：新东方Day8·完整训练+影子跟读</t>
        </is>
      </c>
      <c r="D150" s="14" t="inlineStr">
        <is>
          <t>☐ 未完成</t>
        </is>
      </c>
    </row>
    <row r="151" ht="36" customHeight="1">
      <c r="C151" s="17" t="inlineStr">
        <is>
          <t>5.词汇（45分钟）：不背单词APP四级词本新35词+复习（默写本听写验证）</t>
        </is>
      </c>
      <c r="D151" s="14" t="inlineStr">
        <is>
          <t>☐ 未完成</t>
        </is>
      </c>
    </row>
    <row r="152" ht="20" customHeight="1">
      <c r="C152" s="13" t="inlineStr">
        <is>
          <t>6.写作翻译（15分钟）：闪过真题·写作模板回顾+限时写作1篇</t>
        </is>
      </c>
      <c r="D152" s="14" t="inlineStr">
        <is>
          <t>☐ 未完成</t>
        </is>
      </c>
    </row>
    <row r="153" ht="36" customHeight="1">
      <c r="A153" s="12" t="inlineStr">
        <is>
          <t>2026-10-28</t>
        </is>
      </c>
      <c r="B153" s="8" t="inlineStr">
        <is>
          <t>周三</t>
        </is>
      </c>
      <c r="C153" s="13" t="inlineStr">
        <is>
          <t>1.高等数学（30分钟）：同济第2章·导数与微分 §2.5（约P90–96）·课后习题+综合练习+库课18套2题（库课第4套）</t>
        </is>
      </c>
      <c r="D153" s="14" t="inlineStr">
        <is>
          <t>☐ 未完成</t>
        </is>
      </c>
      <c r="E153" s="15">
        <f>COUNTIF(D153:D159,"☑ 已完成")/COUNTA(C153:C159)</f>
        <v/>
      </c>
      <c r="F153" s="14" t="n"/>
      <c r="G153" s="16" t="inlineStr"/>
    </row>
    <row r="154" ht="36" customHeight="1">
      <c r="C154" s="18" t="inlineStr">
        <is>
          <t>2.专升本英语（30分钟）：锐树网课《数和冠词(一)(二)＋动词的分类(一)》难点回看+综合练习→库课2000题词汇语法约15题</t>
        </is>
      </c>
      <c r="D154" s="14" t="inlineStr">
        <is>
          <t>☐ 未完成</t>
        </is>
      </c>
    </row>
    <row r="155" ht="20" customHeight="1">
      <c r="C155" s="13" t="inlineStr">
        <is>
          <t>3.四级阅读（45分钟）：Unit7-8·错题重做2篇</t>
        </is>
      </c>
      <c r="D155" s="14" t="inlineStr">
        <is>
          <t>☐ 未完成</t>
        </is>
      </c>
    </row>
    <row r="156" ht="20" customHeight="1">
      <c r="C156" s="13" t="inlineStr">
        <is>
          <t>4.四级听力（30分钟）：Day7-8·错题重听+影子跟读</t>
        </is>
      </c>
      <c r="D156" s="14" t="inlineStr">
        <is>
          <t>☐ 未完成</t>
        </is>
      </c>
    </row>
    <row r="157" ht="36" customHeight="1">
      <c r="C157" s="17" t="inlineStr">
        <is>
          <t>5.词汇（45分钟）：不背单词APP四级词本新35词+复习（生词重点巩固）</t>
        </is>
      </c>
      <c r="D157" s="14" t="inlineStr">
        <is>
          <t>☐ 未完成</t>
        </is>
      </c>
    </row>
    <row r="158" ht="20" customHeight="1">
      <c r="C158" s="13" t="inlineStr">
        <is>
          <t>6.写作翻译（30分钟）：闪过真题·写作+翻译综合练习</t>
        </is>
      </c>
      <c r="D158" s="14" t="inlineStr">
        <is>
          <t>☐ 未完成</t>
        </is>
      </c>
    </row>
    <row r="159" ht="20" customHeight="1">
      <c r="C159" s="18" t="inlineStr">
        <is>
          <t>7.机动（30分钟）：进度自查+错题归因+改进计划</t>
        </is>
      </c>
      <c r="D159" s="14" t="inlineStr">
        <is>
          <t>☐ 未完成</t>
        </is>
      </c>
    </row>
    <row r="160" ht="36" customHeight="1">
      <c r="A160" s="12" t="inlineStr">
        <is>
          <t>2026-10-29</t>
        </is>
      </c>
      <c r="B160" s="8" t="inlineStr">
        <is>
          <t>周四</t>
        </is>
      </c>
      <c r="C160" s="13" t="inlineStr">
        <is>
          <t>1.高等数学（30分钟）：复习第2章·导数与微分 §2.5（约P90–96）→综合复习+库课18套错题重做（库课第4套）</t>
        </is>
      </c>
      <c r="D160" s="14" t="inlineStr">
        <is>
          <t>☐ 未完成</t>
        </is>
      </c>
      <c r="E160" s="15">
        <f>COUNTIF(D160:D165,"☑ 已完成")/COUNTA(C160:C165)</f>
        <v/>
      </c>
      <c r="F160" s="14" t="n"/>
      <c r="G160" s="16" t="inlineStr"/>
    </row>
    <row r="161" ht="36" customHeight="1">
      <c r="C161" s="18" t="inlineStr">
        <is>
          <t>2.专升本英语（30分钟）：库课2000题词汇语法·第11-15题+本周错题总复习</t>
        </is>
      </c>
      <c r="D161" s="14" t="inlineStr">
        <is>
          <t>☐ 未完成</t>
        </is>
      </c>
    </row>
    <row r="162" ht="20" customHeight="1">
      <c r="C162" s="13" t="inlineStr">
        <is>
          <t>3.四级阅读（60分钟）：Unit7-8·限时4篇+错题分析</t>
        </is>
      </c>
      <c r="D162" s="14" t="inlineStr">
        <is>
          <t>☐ 未完成</t>
        </is>
      </c>
    </row>
    <row r="163" ht="20" customHeight="1">
      <c r="C163" s="13" t="inlineStr">
        <is>
          <t>4.四级听力（60分钟）：Day7-8·关键词默写+跟读</t>
        </is>
      </c>
      <c r="D163" s="14" t="inlineStr">
        <is>
          <t>☐ 未完成</t>
        </is>
      </c>
    </row>
    <row r="164" ht="36" customHeight="1">
      <c r="C164" s="18" t="inlineStr">
        <is>
          <t>5.词汇（45分钟）：不背单词APP四级词本新35词+复习（本周词汇总复习）</t>
        </is>
      </c>
      <c r="D164" s="14" t="inlineStr">
        <is>
          <t>☐ 未完成</t>
        </is>
      </c>
    </row>
    <row r="165" ht="20" customHeight="1">
      <c r="C165" s="13" t="inlineStr">
        <is>
          <t>6.写作翻译（15分钟）：闪过真题·翻译练习(英译汉5句)</t>
        </is>
      </c>
      <c r="D165" s="14" t="inlineStr">
        <is>
          <t>☐ 未完成</t>
        </is>
      </c>
    </row>
    <row r="166" ht="52" customHeight="1">
      <c r="A166" s="12" t="inlineStr">
        <is>
          <t>2026-10-30</t>
        </is>
      </c>
      <c r="B166" s="8" t="inlineStr">
        <is>
          <t>周五</t>
        </is>
      </c>
      <c r="C166" s="13" t="inlineStr">
        <is>
          <t>1.高等数学（30分钟）：同济第3章·中值定理与导数应用 §3.1（约P98–105）·概念理解+例题精做+库课18套2题（库课第5套）</t>
        </is>
      </c>
      <c r="D166" s="14" t="inlineStr">
        <is>
          <t>☐ 未完成</t>
        </is>
      </c>
      <c r="E166" s="15">
        <f>COUNTIF(D166:D172,"☑ 已完成")/COUNTA(C166:C172)</f>
        <v/>
      </c>
      <c r="F166" s="14" t="n"/>
      <c r="G166" s="16" t="inlineStr"/>
    </row>
    <row r="167" ht="36" customHeight="1">
      <c r="C167" s="13" t="inlineStr">
        <is>
          <t>2.专升本英语（30分钟）：锐树网课《动词的分类(二)》精看+笔记标注→库课2000题词汇语法约15题</t>
        </is>
      </c>
      <c r="D167" s="14" t="inlineStr">
        <is>
          <t>☐ 未完成</t>
        </is>
      </c>
    </row>
    <row r="168" ht="36" customHeight="1">
      <c r="C168" s="13" t="inlineStr">
        <is>
          <t>3.四级阅读（45分钟）：新东方Unit9·Passage1-2限时(8min/篇)</t>
        </is>
      </c>
      <c r="D168" s="14" t="inlineStr">
        <is>
          <t>☐ 未完成</t>
        </is>
      </c>
    </row>
    <row r="169" ht="20" customHeight="1">
      <c r="C169" s="13" t="inlineStr">
        <is>
          <t>4.四级听力（30分钟）：新东方Day9·短新闻+长对话</t>
        </is>
      </c>
      <c r="D169" s="14" t="inlineStr">
        <is>
          <t>☐ 未完成</t>
        </is>
      </c>
    </row>
    <row r="170" ht="36" customHeight="1">
      <c r="C170" s="17" t="inlineStr">
        <is>
          <t>5.词汇（45分钟）：不背单词APP四级词本新35词+复习（主动回忆法）</t>
        </is>
      </c>
      <c r="D170" s="14" t="inlineStr">
        <is>
          <t>☐ 未完成</t>
        </is>
      </c>
    </row>
    <row r="171" ht="20" customHeight="1">
      <c r="C171" s="13" t="inlineStr">
        <is>
          <t>6.写作翻译（30分钟）：闪过真题·写作模板背诵+仿写1篇</t>
        </is>
      </c>
      <c r="D171" s="14" t="inlineStr">
        <is>
          <t>☐ 未完成</t>
        </is>
      </c>
    </row>
    <row r="172" ht="20" customHeight="1">
      <c r="C172" s="18" t="inlineStr">
        <is>
          <t>7.机动（30分钟）：整理高数错因(概念/计算/审题分类)</t>
        </is>
      </c>
      <c r="D172" s="14" t="inlineStr">
        <is>
          <t>☐ 未完成</t>
        </is>
      </c>
    </row>
    <row r="173" ht="52" customHeight="1">
      <c r="A173" s="12" t="inlineStr">
        <is>
          <t>2026-10-31</t>
        </is>
      </c>
      <c r="B173" s="8" t="inlineStr">
        <is>
          <t>周六</t>
        </is>
      </c>
      <c r="C173" s="13" t="inlineStr">
        <is>
          <t>1.高等数学（30分钟）：复习第3章·中值定理与导数应用 §3.1（约P98–105）→复习对应A日内容+库课18套2道新大题（库课第5套）</t>
        </is>
      </c>
      <c r="D173" s="14" t="inlineStr">
        <is>
          <t>☐ 未完成</t>
        </is>
      </c>
      <c r="E173" s="15">
        <f>COUNTIF(D173:D178,"☑ 已完成")/COUNTA(C173:C178)</f>
        <v/>
      </c>
      <c r="F173" s="14" t="n"/>
      <c r="G173" s="16" t="inlineStr"/>
    </row>
    <row r="174" ht="36" customHeight="1">
      <c r="C174" s="13" t="inlineStr">
        <is>
          <t>2.专升本英语（30分钟）：库课2000题词汇语法·第1-5题巩固+错题标注</t>
        </is>
      </c>
      <c r="D174" s="14" t="inlineStr">
        <is>
          <t>☐ 未完成</t>
        </is>
      </c>
    </row>
    <row r="175" ht="36" customHeight="1">
      <c r="C175" s="13" t="inlineStr">
        <is>
          <t>3.四级阅读（60分钟）：新东方Unit9·Passage1-3限时+生词复习</t>
        </is>
      </c>
      <c r="D175" s="14" t="inlineStr">
        <is>
          <t>☐ 未完成</t>
        </is>
      </c>
    </row>
    <row r="176" ht="20" customHeight="1">
      <c r="C176" s="13" t="inlineStr">
        <is>
          <t>4.四级听力（60分钟）：新东方Day9·完整训练+影子跟读</t>
        </is>
      </c>
      <c r="D176" s="14" t="inlineStr">
        <is>
          <t>☐ 未完成</t>
        </is>
      </c>
    </row>
    <row r="177" ht="36" customHeight="1">
      <c r="C177" s="17" t="inlineStr">
        <is>
          <t>5.词汇（45分钟）：不背单词APP四级词本新35词+复习（本周新词巩固）</t>
        </is>
      </c>
      <c r="D177" s="14" t="inlineStr">
        <is>
          <t>☐ 未完成</t>
        </is>
      </c>
    </row>
    <row r="178" ht="20" customHeight="1">
      <c r="C178" s="13" t="inlineStr">
        <is>
          <t>6.写作翻译（15分钟）：闪过真题·翻译练习(英译汉5句)</t>
        </is>
      </c>
      <c r="D178" s="14" t="inlineStr">
        <is>
          <t>☐ 未完成</t>
        </is>
      </c>
    </row>
    <row r="180">
      <c r="A180" s="19" t="inlineStr">
        <is>
          <t>月度汇总</t>
        </is>
      </c>
    </row>
    <row r="181">
      <c r="A181" s="19" t="inlineStr">
        <is>
          <t>已完成</t>
        </is>
      </c>
      <c r="B181">
        <f>COUNTIF(D2:D178,"☑ 已完成")</f>
        <v/>
      </c>
    </row>
    <row r="182">
      <c r="A182" s="19" t="inlineStr">
        <is>
          <t>未完成</t>
        </is>
      </c>
      <c r="B182">
        <f>COUNTIF(D2:D178,"☐ 未完成")</f>
        <v/>
      </c>
    </row>
    <row r="183">
      <c r="A183" s="19" t="inlineStr">
        <is>
          <t>完成率</t>
        </is>
      </c>
      <c r="B183" s="20">
        <f>COUNTIF(D2:D178,"☑ 已完成")/(COUNTIF(D2:D178,"☑ 已完成")+COUNTIF(D2:D178,"☐ 未完成"))</f>
        <v/>
      </c>
    </row>
  </sheetData>
  <mergeCells count="150">
    <mergeCell ref="B50:B55"/>
    <mergeCell ref="F153:F159"/>
    <mergeCell ref="F17:F23"/>
    <mergeCell ref="B91:B96"/>
    <mergeCell ref="F140:F146"/>
    <mergeCell ref="B106:B111"/>
    <mergeCell ref="G97:G98"/>
    <mergeCell ref="E30:E36"/>
    <mergeCell ref="G30:G36"/>
    <mergeCell ref="F43:F49"/>
    <mergeCell ref="E78:E83"/>
    <mergeCell ref="G78:G83"/>
    <mergeCell ref="B99:B105"/>
    <mergeCell ref="A112:A118"/>
    <mergeCell ref="B15:B16"/>
    <mergeCell ref="A65:A70"/>
    <mergeCell ref="B132:B137"/>
    <mergeCell ref="E71:E77"/>
    <mergeCell ref="G71:G77"/>
    <mergeCell ref="E112:E118"/>
    <mergeCell ref="B125:B131"/>
    <mergeCell ref="G2:G8"/>
    <mergeCell ref="A147:A152"/>
    <mergeCell ref="B140:B146"/>
    <mergeCell ref="G50:G55"/>
    <mergeCell ref="A153:A159"/>
    <mergeCell ref="F30:F36"/>
    <mergeCell ref="E91:E96"/>
    <mergeCell ref="B56:B57"/>
    <mergeCell ref="G91:G96"/>
    <mergeCell ref="B160:B165"/>
    <mergeCell ref="B97:B98"/>
    <mergeCell ref="E106:E111"/>
    <mergeCell ref="A173:A178"/>
    <mergeCell ref="G9:G14"/>
    <mergeCell ref="G106:G111"/>
    <mergeCell ref="E153:E159"/>
    <mergeCell ref="B166:B172"/>
    <mergeCell ref="A9:A14"/>
    <mergeCell ref="F147:F152"/>
    <mergeCell ref="A17:A23"/>
    <mergeCell ref="A119:A124"/>
    <mergeCell ref="E99:E105"/>
    <mergeCell ref="E160:E165"/>
    <mergeCell ref="B112:B118"/>
    <mergeCell ref="F24:F29"/>
    <mergeCell ref="A125:A131"/>
    <mergeCell ref="E132:E137"/>
    <mergeCell ref="E166:E172"/>
    <mergeCell ref="F65:F70"/>
    <mergeCell ref="G132:G137"/>
    <mergeCell ref="A78:A83"/>
    <mergeCell ref="A56:A57"/>
    <mergeCell ref="A50:A55"/>
    <mergeCell ref="E125:E131"/>
    <mergeCell ref="F58:F64"/>
    <mergeCell ref="A37:A42"/>
    <mergeCell ref="B153:B159"/>
    <mergeCell ref="G138:G139"/>
    <mergeCell ref="G24:G29"/>
    <mergeCell ref="A30:A36"/>
    <mergeCell ref="E97:E98"/>
    <mergeCell ref="F84:F90"/>
    <mergeCell ref="B43:B49"/>
    <mergeCell ref="G166:G172"/>
    <mergeCell ref="F9:F14"/>
    <mergeCell ref="F99:F105"/>
    <mergeCell ref="E140:E146"/>
    <mergeCell ref="B173:B178"/>
    <mergeCell ref="G173:G178"/>
    <mergeCell ref="A71:A77"/>
    <mergeCell ref="F78:F83"/>
    <mergeCell ref="A99:A105"/>
    <mergeCell ref="A2:A8"/>
    <mergeCell ref="E2:E8"/>
    <mergeCell ref="G58:G64"/>
    <mergeCell ref="A132:A137"/>
    <mergeCell ref="F138:F139"/>
    <mergeCell ref="F71:F77"/>
    <mergeCell ref="E15:E16"/>
    <mergeCell ref="G15:G16"/>
    <mergeCell ref="G37:G42"/>
    <mergeCell ref="G84:G90"/>
    <mergeCell ref="E9:E14"/>
    <mergeCell ref="F50:F55"/>
    <mergeCell ref="F106:F111"/>
    <mergeCell ref="E43:E49"/>
    <mergeCell ref="B147:B152"/>
    <mergeCell ref="G43:G49"/>
    <mergeCell ref="G99:G105"/>
    <mergeCell ref="F91:F96"/>
    <mergeCell ref="F112:F118"/>
    <mergeCell ref="A160:A165"/>
    <mergeCell ref="G140:G146"/>
    <mergeCell ref="A97:A98"/>
    <mergeCell ref="A166:A172"/>
    <mergeCell ref="B65:B70"/>
    <mergeCell ref="E56:E57"/>
    <mergeCell ref="B9:B14"/>
    <mergeCell ref="G56:G57"/>
    <mergeCell ref="A106:A111"/>
    <mergeCell ref="B17:B23"/>
    <mergeCell ref="G119:G124"/>
    <mergeCell ref="B58:B64"/>
    <mergeCell ref="F2:F8"/>
    <mergeCell ref="A138:A139"/>
    <mergeCell ref="F15:F16"/>
    <mergeCell ref="F132:F137"/>
    <mergeCell ref="F119:F124"/>
    <mergeCell ref="G112:G118"/>
    <mergeCell ref="A24:A29"/>
    <mergeCell ref="E138:E139"/>
    <mergeCell ref="E24:E29"/>
    <mergeCell ref="F125:F131"/>
    <mergeCell ref="E147:E152"/>
    <mergeCell ref="B84:B90"/>
    <mergeCell ref="G160:G165"/>
    <mergeCell ref="A140:A146"/>
    <mergeCell ref="G147:G152"/>
    <mergeCell ref="F173:F178"/>
    <mergeCell ref="F56:F57"/>
    <mergeCell ref="F160:F165"/>
    <mergeCell ref="B30:B36"/>
    <mergeCell ref="F97:F98"/>
    <mergeCell ref="E173:E178"/>
    <mergeCell ref="B37:B42"/>
    <mergeCell ref="G153:G159"/>
    <mergeCell ref="A43:A49"/>
    <mergeCell ref="A58:A64"/>
    <mergeCell ref="E65:E70"/>
    <mergeCell ref="F166:F172"/>
    <mergeCell ref="G65:G70"/>
    <mergeCell ref="B78:B83"/>
    <mergeCell ref="E17:E23"/>
    <mergeCell ref="A91:A96"/>
    <mergeCell ref="E119:E124"/>
    <mergeCell ref="G17:G23"/>
    <mergeCell ref="B119:B124"/>
    <mergeCell ref="E58:E64"/>
    <mergeCell ref="B138:B139"/>
    <mergeCell ref="B24:B29"/>
    <mergeCell ref="B71:B77"/>
    <mergeCell ref="A84:A90"/>
    <mergeCell ref="F37:F42"/>
    <mergeCell ref="A15:A16"/>
    <mergeCell ref="B2:B8"/>
    <mergeCell ref="E50:E55"/>
    <mergeCell ref="G125:G131"/>
    <mergeCell ref="E84:E90"/>
    <mergeCell ref="E37:E42"/>
  </mergeCells>
  <dataValidations count="1">
    <dataValidation sqref="D2:D178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2026-11-01</t>
        </is>
      </c>
      <c r="B2" s="8" t="inlineStr">
        <is>
          <t>周日</t>
        </is>
      </c>
      <c r="C2" s="13" t="inlineStr">
        <is>
          <t>1.数学模考：同济已学章节阶段自测(总习题+已学库课题)完整卷2小时估分</t>
        </is>
      </c>
      <c r="D2" s="14" t="inlineStr">
        <is>
          <t>☐ 未完成</t>
        </is>
      </c>
      <c r="E2" s="15">
        <f>COUNTIF(D2:D3,"☑ 已完成")/COUNTA(C2:C3)</f>
        <v/>
      </c>
      <c r="F2" s="14" t="n"/>
      <c r="G2" s="16" t="inlineStr">
        <is>
          <t>模考日</t>
        </is>
      </c>
    </row>
    <row r="3" ht="20" customHeight="1">
      <c r="C3" s="18" t="inlineStr">
        <is>
          <t>2.错题归因+周复盘+下周计划+进度自查</t>
        </is>
      </c>
      <c r="D3" s="14" t="inlineStr">
        <is>
          <t>☐ 未完成</t>
        </is>
      </c>
    </row>
    <row r="4" ht="52" customHeight="1">
      <c r="A4" s="12" t="inlineStr">
        <is>
          <t>2026-11-02</t>
        </is>
      </c>
      <c r="B4" s="8" t="inlineStr">
        <is>
          <t>周一</t>
        </is>
      </c>
      <c r="C4" s="13" t="inlineStr">
        <is>
          <t>1.高等数学（30分钟）：同济第3章·中值定理与导数应用 §3.2（约P105–112）·续讲精做+例题演练+库课18套2题（库课第5套）</t>
        </is>
      </c>
      <c r="D4" s="14" t="inlineStr">
        <is>
          <t>☐ 未完成</t>
        </is>
      </c>
      <c r="E4" s="15">
        <f>COUNTIF(D4:D10,"☑ 已完成")/COUNTA(C4:C10)</f>
        <v/>
      </c>
      <c r="F4" s="14" t="n"/>
      <c r="G4" s="16" t="inlineStr"/>
    </row>
    <row r="5" ht="36" customHeight="1">
      <c r="C5" s="13" t="inlineStr">
        <is>
          <t>2.专升本英语（30分钟）：锐树网课《时态语态(一)(二)》精看+笔记标注→库课2000题词汇语法约15题</t>
        </is>
      </c>
      <c r="D5" s="14" t="inlineStr">
        <is>
          <t>☐ 未完成</t>
        </is>
      </c>
    </row>
    <row r="6" ht="36" customHeight="1">
      <c r="C6" s="13" t="inlineStr">
        <is>
          <t>3.四级阅读（45分钟）：新东方Unit10·Passage1-2限时(8min/篇)</t>
        </is>
      </c>
      <c r="D6" s="14" t="inlineStr">
        <is>
          <t>☐ 未完成</t>
        </is>
      </c>
    </row>
    <row r="7" ht="20" customHeight="1">
      <c r="C7" s="13" t="inlineStr">
        <is>
          <t>4.四级听力（30分钟）：新东方Day10·短文理解+讲座</t>
        </is>
      </c>
      <c r="D7" s="14" t="inlineStr">
        <is>
          <t>☐ 未完成</t>
        </is>
      </c>
    </row>
    <row r="8" ht="36" customHeight="1">
      <c r="C8" s="17" t="inlineStr">
        <is>
          <t>5.词汇（45分钟）：不背单词APP四级词本新35词+复习（错词清零+标记）</t>
        </is>
      </c>
      <c r="D8" s="14" t="inlineStr">
        <is>
          <t>☐ 未完成</t>
        </is>
      </c>
    </row>
    <row r="9" ht="20" customHeight="1">
      <c r="C9" s="13" t="inlineStr">
        <is>
          <t>6.写作翻译（30分钟）：闪过真题·翻译练习(汉译英5句)</t>
        </is>
      </c>
      <c r="D9" s="14" t="inlineStr">
        <is>
          <t>☐ 未完成</t>
        </is>
      </c>
    </row>
    <row r="10" ht="20" customHeight="1">
      <c r="C10" s="18" t="inlineStr">
        <is>
          <t>7.机动（30分钟）：锐树网课笔记回顾+语法考点整理</t>
        </is>
      </c>
      <c r="D10" s="14" t="inlineStr">
        <is>
          <t>☐ 未完成</t>
        </is>
      </c>
    </row>
    <row r="11" ht="52" customHeight="1">
      <c r="A11" s="12" t="inlineStr">
        <is>
          <t>2026-11-03</t>
        </is>
      </c>
      <c r="B11" s="8" t="inlineStr">
        <is>
          <t>周二</t>
        </is>
      </c>
      <c r="C11" s="13" t="inlineStr">
        <is>
          <t>1.高等数学（30分钟）：复习第3章·中值定理与导数应用 §3.2（约P105–112）→概念公式默写+库课18套2道计算题（库课第5套）</t>
        </is>
      </c>
      <c r="D11" s="14" t="inlineStr">
        <is>
          <t>☐ 未完成</t>
        </is>
      </c>
      <c r="E11" s="15">
        <f>COUNTIF(D11:D16,"☑ 已完成")/COUNTA(C11:C16)</f>
        <v/>
      </c>
      <c r="F11" s="14" t="n"/>
      <c r="G11" s="16" t="inlineStr"/>
    </row>
    <row r="12" ht="36" customHeight="1">
      <c r="C12" s="13" t="inlineStr">
        <is>
          <t>2.专升本英语（30分钟）：库课2000题词汇语法·第6-10题错题重做</t>
        </is>
      </c>
      <c r="D12" s="14" t="inlineStr">
        <is>
          <t>☐ 未完成</t>
        </is>
      </c>
    </row>
    <row r="13" ht="36" customHeight="1">
      <c r="C13" s="13" t="inlineStr">
        <is>
          <t>3.四级阅读（60分钟）：新东方Unit10·Passage1-3限时+生词复习</t>
        </is>
      </c>
      <c r="D13" s="14" t="inlineStr">
        <is>
          <t>☐ 未完成</t>
        </is>
      </c>
    </row>
    <row r="14" ht="20" customHeight="1">
      <c r="C14" s="13" t="inlineStr">
        <is>
          <t>4.四级听力（60分钟）：新东方Day10·完整训练+影子跟读</t>
        </is>
      </c>
      <c r="D14" s="14" t="inlineStr">
        <is>
          <t>☐ 未完成</t>
        </is>
      </c>
    </row>
    <row r="15" ht="36" customHeight="1">
      <c r="C15" s="17" t="inlineStr">
        <is>
          <t>5.词汇（45分钟）：不背单词APP四级词本新35词+复习（默写本听写验证）</t>
        </is>
      </c>
      <c r="D15" s="14" t="inlineStr">
        <is>
          <t>☐ 未完成</t>
        </is>
      </c>
    </row>
    <row r="16" ht="20" customHeight="1">
      <c r="C16" s="13" t="inlineStr">
        <is>
          <t>6.写作翻译（15分钟）：闪过真题·写作模板回顾+限时写作1篇</t>
        </is>
      </c>
      <c r="D16" s="14" t="inlineStr">
        <is>
          <t>☐ 未完成</t>
        </is>
      </c>
    </row>
    <row r="17" ht="52" customHeight="1">
      <c r="A17" s="12" t="inlineStr">
        <is>
          <t>2026-11-04</t>
        </is>
      </c>
      <c r="B17" s="8" t="inlineStr">
        <is>
          <t>周三</t>
        </is>
      </c>
      <c r="C17" s="13" t="inlineStr">
        <is>
          <t>1.高等数学（30分钟）：同济第3章·中值定理与导数应用 §3.1–2(全节综合)（约P112–120）·课后习题+综合练习+库课18套2题（库课第5套）</t>
        </is>
      </c>
      <c r="D17" s="14" t="inlineStr">
        <is>
          <t>☐ 未完成</t>
        </is>
      </c>
      <c r="E17" s="15">
        <f>COUNTIF(D17:D23,"☑ 已完成")/COUNTA(C17:C23)</f>
        <v/>
      </c>
      <c r="F17" s="14" t="n"/>
      <c r="G17" s="16" t="inlineStr"/>
    </row>
    <row r="18" ht="36" customHeight="1">
      <c r="C18" s="18" t="inlineStr">
        <is>
          <t>2.专升本英语（30分钟）：锐树网课《动词的分类(二)＋时态语态(一)(二)》难点回看+综合练习→库课2000题词汇语法约15题</t>
        </is>
      </c>
      <c r="D18" s="14" t="inlineStr">
        <is>
          <t>☐ 未完成</t>
        </is>
      </c>
    </row>
    <row r="19" ht="20" customHeight="1">
      <c r="C19" s="13" t="inlineStr">
        <is>
          <t>3.四级阅读（45分钟）：Unit9-10·错题重做2篇</t>
        </is>
      </c>
      <c r="D19" s="14" t="inlineStr">
        <is>
          <t>☐ 未完成</t>
        </is>
      </c>
    </row>
    <row r="20" ht="20" customHeight="1">
      <c r="C20" s="13" t="inlineStr">
        <is>
          <t>4.四级听力（30分钟）：Day9-10·错题重听+影子跟读</t>
        </is>
      </c>
      <c r="D20" s="14" t="inlineStr">
        <is>
          <t>☐ 未完成</t>
        </is>
      </c>
    </row>
    <row r="21" ht="36" customHeight="1">
      <c r="C21" s="17" t="inlineStr">
        <is>
          <t>5.词汇（45分钟）：不背单词APP四级词本新35词+复习（生词重点巩固）</t>
        </is>
      </c>
      <c r="D21" s="14" t="inlineStr">
        <is>
          <t>☐ 未完成</t>
        </is>
      </c>
    </row>
    <row r="22" ht="20" customHeight="1">
      <c r="C22" s="13" t="inlineStr">
        <is>
          <t>6.写作翻译（30分钟）：闪过真题·写作+翻译综合练习</t>
        </is>
      </c>
      <c r="D22" s="14" t="inlineStr">
        <is>
          <t>☐ 未完成</t>
        </is>
      </c>
    </row>
    <row r="23" ht="20" customHeight="1">
      <c r="C23" s="18" t="inlineStr">
        <is>
          <t>7.机动（30分钟）：进度自查+错题归因+改进计划</t>
        </is>
      </c>
      <c r="D23" s="14" t="inlineStr">
        <is>
          <t>☐ 未完成</t>
        </is>
      </c>
    </row>
    <row r="24" ht="52" customHeight="1">
      <c r="A24" s="12" t="inlineStr">
        <is>
          <t>2026-11-05</t>
        </is>
      </c>
      <c r="B24" s="8" t="inlineStr">
        <is>
          <t>周四</t>
        </is>
      </c>
      <c r="C24" s="13" t="inlineStr">
        <is>
          <t>1.高等数学（30分钟）：复习第3章·中值定理与导数应用 §3.1–2(全节综合)（约P112–120）→综合复习+库课18套错题重做（库课第5套）</t>
        </is>
      </c>
      <c r="D24" s="14" t="inlineStr">
        <is>
          <t>☐ 未完成</t>
        </is>
      </c>
      <c r="E24" s="15">
        <f>COUNTIF(D24:D29,"☑ 已完成")/COUNTA(C24:C29)</f>
        <v/>
      </c>
      <c r="F24" s="14" t="n"/>
      <c r="G24" s="16" t="inlineStr"/>
    </row>
    <row r="25" ht="36" customHeight="1">
      <c r="C25" s="18" t="inlineStr">
        <is>
          <t>2.专升本英语（30分钟）：库课2000题词汇语法·第11-15题+本周错题总复习</t>
        </is>
      </c>
      <c r="D25" s="14" t="inlineStr">
        <is>
          <t>☐ 未完成</t>
        </is>
      </c>
    </row>
    <row r="26" ht="20" customHeight="1">
      <c r="C26" s="13" t="inlineStr">
        <is>
          <t>3.四级阅读（60分钟）：Unit9-10·限时4篇+错题分析</t>
        </is>
      </c>
      <c r="D26" s="14" t="inlineStr">
        <is>
          <t>☐ 未完成</t>
        </is>
      </c>
    </row>
    <row r="27" ht="20" customHeight="1">
      <c r="C27" s="13" t="inlineStr">
        <is>
          <t>4.四级听力（60分钟）：Day9-10·关键词默写+跟读</t>
        </is>
      </c>
      <c r="D27" s="14" t="inlineStr">
        <is>
          <t>☐ 未完成</t>
        </is>
      </c>
    </row>
    <row r="28" ht="36" customHeight="1">
      <c r="C28" s="18" t="inlineStr">
        <is>
          <t>5.词汇（45分钟）：不背单词APP四级词本新35词+复习（本周词汇总复习）</t>
        </is>
      </c>
      <c r="D28" s="14" t="inlineStr">
        <is>
          <t>☐ 未完成</t>
        </is>
      </c>
    </row>
    <row r="29" ht="20" customHeight="1">
      <c r="C29" s="13" t="inlineStr">
        <is>
          <t>6.写作翻译（15分钟）：闪过真题·翻译练习(英译汉5句)</t>
        </is>
      </c>
      <c r="D29" s="14" t="inlineStr">
        <is>
          <t>☐ 未完成</t>
        </is>
      </c>
    </row>
    <row r="30" ht="36" customHeight="1">
      <c r="A30" s="12" t="inlineStr">
        <is>
          <t>2026-11-06</t>
        </is>
      </c>
      <c r="B30" s="8" t="inlineStr">
        <is>
          <t>周五</t>
        </is>
      </c>
      <c r="C30" s="13" t="inlineStr">
        <is>
          <t>1.高等数学（30分钟）：同济第3章 §3.3（约P120–127）·概念理解+例题精做+库课18套2题（库课第6套）</t>
        </is>
      </c>
      <c r="D30" s="14" t="inlineStr">
        <is>
          <t>☐ 未完成</t>
        </is>
      </c>
      <c r="E30" s="15">
        <f>COUNTIF(D30:D36,"☑ 已完成")/COUNTA(C30:C36)</f>
        <v/>
      </c>
      <c r="F30" s="14" t="n"/>
      <c r="G30" s="16" t="inlineStr"/>
    </row>
    <row r="31" ht="36" customHeight="1">
      <c r="C31" s="13" t="inlineStr">
        <is>
          <t>2.专升本英语（30分钟）：锐树网课《非谓语动词(一)(二)》精看+笔记标注→库课2000题词汇语法约15题</t>
        </is>
      </c>
      <c r="D31" s="14" t="inlineStr">
        <is>
          <t>☐ 未完成</t>
        </is>
      </c>
    </row>
    <row r="32" ht="36" customHeight="1">
      <c r="C32" s="13" t="inlineStr">
        <is>
          <t>3.四级阅读（45分钟）：新东方Unit11·Passage1-2限时(8min/篇)</t>
        </is>
      </c>
      <c r="D32" s="14" t="inlineStr">
        <is>
          <t>☐ 未完成</t>
        </is>
      </c>
    </row>
    <row r="33" ht="20" customHeight="1">
      <c r="C33" s="13" t="inlineStr">
        <is>
          <t>4.四级听力（30分钟）：新东方Day11·短新闻+长对话</t>
        </is>
      </c>
      <c r="D33" s="14" t="inlineStr">
        <is>
          <t>☐ 未完成</t>
        </is>
      </c>
    </row>
    <row r="34" ht="36" customHeight="1">
      <c r="C34" s="17" t="inlineStr">
        <is>
          <t>5.词汇（45分钟）：不背单词APP四级词本新35词+复习（主动回忆法）</t>
        </is>
      </c>
      <c r="D34" s="14" t="inlineStr">
        <is>
          <t>☐ 未完成</t>
        </is>
      </c>
    </row>
    <row r="35" ht="20" customHeight="1">
      <c r="C35" s="13" t="inlineStr">
        <is>
          <t>6.写作翻译（30分钟）：闪过真题·写作模板背诵+仿写1篇</t>
        </is>
      </c>
      <c r="D35" s="14" t="inlineStr">
        <is>
          <t>☐ 未完成</t>
        </is>
      </c>
    </row>
    <row r="36" ht="20" customHeight="1">
      <c r="C36" s="18" t="inlineStr">
        <is>
          <t>7.机动（30分钟）：整理高数错因(概念/计算/审题分类)</t>
        </is>
      </c>
      <c r="D36" s="14" t="inlineStr">
        <is>
          <t>☐ 未完成</t>
        </is>
      </c>
    </row>
    <row r="37" ht="36" customHeight="1">
      <c r="A37" s="12" t="inlineStr">
        <is>
          <t>2026-11-07</t>
        </is>
      </c>
      <c r="B37" s="8" t="inlineStr">
        <is>
          <t>周六</t>
        </is>
      </c>
      <c r="C37" s="13" t="inlineStr">
        <is>
          <t>1.高等数学（30分钟）：复习第3章 §3.3（约P120–127）→复习对应A日内容+库课18套2道新大题（库课第6套）</t>
        </is>
      </c>
      <c r="D37" s="14" t="inlineStr">
        <is>
          <t>☐ 未完成</t>
        </is>
      </c>
      <c r="E37" s="15">
        <f>COUNTIF(D37:D42,"☑ 已完成")/COUNTA(C37:C42)</f>
        <v/>
      </c>
      <c r="F37" s="14" t="n"/>
      <c r="G37" s="16" t="inlineStr"/>
    </row>
    <row r="38" ht="36" customHeight="1">
      <c r="C38" s="13" t="inlineStr">
        <is>
          <t>2.专升本英语（30分钟）：库课2000题词汇语法·第1-5题巩固+错题标注</t>
        </is>
      </c>
      <c r="D38" s="14" t="inlineStr">
        <is>
          <t>☐ 未完成</t>
        </is>
      </c>
    </row>
    <row r="39" ht="36" customHeight="1">
      <c r="C39" s="13" t="inlineStr">
        <is>
          <t>3.四级阅读（60分钟）：新东方Unit11·Passage1-3限时+生词复习</t>
        </is>
      </c>
      <c r="D39" s="14" t="inlineStr">
        <is>
          <t>☐ 未完成</t>
        </is>
      </c>
    </row>
    <row r="40" ht="20" customHeight="1">
      <c r="C40" s="13" t="inlineStr">
        <is>
          <t>4.四级听力（60分钟）：新东方Day11·完整训练+影子跟读</t>
        </is>
      </c>
      <c r="D40" s="14" t="inlineStr">
        <is>
          <t>☐ 未完成</t>
        </is>
      </c>
    </row>
    <row r="41" ht="36" customHeight="1">
      <c r="C41" s="17" t="inlineStr">
        <is>
          <t>5.词汇（45分钟）：不背单词APP四级词本新35词+复习（本周新词巩固）</t>
        </is>
      </c>
      <c r="D41" s="14" t="inlineStr">
        <is>
          <t>☐ 未完成</t>
        </is>
      </c>
    </row>
    <row r="42" ht="20" customHeight="1">
      <c r="C42" s="13" t="inlineStr">
        <is>
          <t>6.写作翻译（15分钟）：闪过真题·翻译练习(英译汉5句)</t>
        </is>
      </c>
      <c r="D42" s="14" t="inlineStr">
        <is>
          <t>☐ 未完成</t>
        </is>
      </c>
    </row>
    <row r="43" ht="20" customHeight="1">
      <c r="A43" s="12" t="inlineStr">
        <is>
          <t>2026-11-08</t>
        </is>
      </c>
      <c r="B43" s="8" t="inlineStr">
        <is>
          <t>周日</t>
        </is>
      </c>
      <c r="C43" s="13" t="inlineStr">
        <is>
          <t>1.四级模考：闪过真题第3套完整真题2小时按710分估分</t>
        </is>
      </c>
      <c r="D43" s="14" t="inlineStr">
        <is>
          <t>☐ 未完成</t>
        </is>
      </c>
      <c r="E43" s="15">
        <f>COUNTIF(D43:D44,"☑ 已完成")/COUNTA(C43:C44)</f>
        <v/>
      </c>
      <c r="F43" s="14" t="n"/>
      <c r="G43" s="16" t="inlineStr">
        <is>
          <t>模考日</t>
        </is>
      </c>
    </row>
    <row r="44" ht="20" customHeight="1">
      <c r="C44" s="18" t="inlineStr">
        <is>
          <t>2.错题归因+周复盘+下周计划</t>
        </is>
      </c>
      <c r="D44" s="14" t="inlineStr">
        <is>
          <t>☐ 未完成</t>
        </is>
      </c>
    </row>
    <row r="45" ht="36" customHeight="1">
      <c r="A45" s="12" t="inlineStr">
        <is>
          <t>2026-11-09</t>
        </is>
      </c>
      <c r="B45" s="8" t="inlineStr">
        <is>
          <t>周一</t>
        </is>
      </c>
      <c r="C45" s="13" t="inlineStr">
        <is>
          <t>1.高等数学（30分钟）：同济第3章 §3.4（约P127–134）·续讲精做+例题演练+库课18套2题（库课第6套）</t>
        </is>
      </c>
      <c r="D45" s="14" t="inlineStr">
        <is>
          <t>☐ 未完成</t>
        </is>
      </c>
      <c r="E45" s="15">
        <f>COUNTIF(D45:D51,"☑ 已完成")/COUNTA(C45:C51)</f>
        <v/>
      </c>
      <c r="F45" s="14" t="n"/>
      <c r="G45" s="16" t="inlineStr"/>
    </row>
    <row r="46" ht="36" customHeight="1">
      <c r="C46" s="13" t="inlineStr">
        <is>
          <t>2.专升本英语（30分钟）：锐树网课《主谓一致》精看+笔记标注→库课2000题词汇语法约15题</t>
        </is>
      </c>
      <c r="D46" s="14" t="inlineStr">
        <is>
          <t>☐ 未完成</t>
        </is>
      </c>
    </row>
    <row r="47" ht="36" customHeight="1">
      <c r="C47" s="13" t="inlineStr">
        <is>
          <t>3.四级阅读（45分钟）：新东方Unit12·Passage1-2限时(8min/篇)</t>
        </is>
      </c>
      <c r="D47" s="14" t="inlineStr">
        <is>
          <t>☐ 未完成</t>
        </is>
      </c>
    </row>
    <row r="48" ht="20" customHeight="1">
      <c r="C48" s="13" t="inlineStr">
        <is>
          <t>4.四级听力（30分钟）：新东方Day12·短文理解+讲座</t>
        </is>
      </c>
      <c r="D48" s="14" t="inlineStr">
        <is>
          <t>☐ 未完成</t>
        </is>
      </c>
    </row>
    <row r="49" ht="36" customHeight="1">
      <c r="C49" s="17" t="inlineStr">
        <is>
          <t>5.词汇（45分钟）：不背单词APP四级词本新35词+复习（错词清零+标记）</t>
        </is>
      </c>
      <c r="D49" s="14" t="inlineStr">
        <is>
          <t>☐ 未完成</t>
        </is>
      </c>
    </row>
    <row r="50" ht="20" customHeight="1">
      <c r="C50" s="13" t="inlineStr">
        <is>
          <t>6.写作翻译（30分钟）：闪过真题·翻译练习(汉译英5句)</t>
        </is>
      </c>
      <c r="D50" s="14" t="inlineStr">
        <is>
          <t>☐ 未完成</t>
        </is>
      </c>
    </row>
    <row r="51" ht="20" customHeight="1">
      <c r="C51" s="18" t="inlineStr">
        <is>
          <t>7.机动（30分钟）：锐树网课笔记回顾+语法考点整理</t>
        </is>
      </c>
      <c r="D51" s="14" t="inlineStr">
        <is>
          <t>☐ 未完成</t>
        </is>
      </c>
    </row>
    <row r="52" ht="36" customHeight="1">
      <c r="A52" s="12" t="inlineStr">
        <is>
          <t>2026-11-10</t>
        </is>
      </c>
      <c r="B52" s="8" t="inlineStr">
        <is>
          <t>周二</t>
        </is>
      </c>
      <c r="C52" s="13" t="inlineStr">
        <is>
          <t>1.高等数学（30分钟）：复习第3章 §3.4（约P127–134）→概念公式默写+库课18套2道计算题（库课第6套）</t>
        </is>
      </c>
      <c r="D52" s="14" t="inlineStr">
        <is>
          <t>☐ 未完成</t>
        </is>
      </c>
      <c r="E52" s="15">
        <f>COUNTIF(D52:D57,"☑ 已完成")/COUNTA(C52:C57)</f>
        <v/>
      </c>
      <c r="F52" s="14" t="n"/>
      <c r="G52" s="16" t="inlineStr"/>
    </row>
    <row r="53" ht="36" customHeight="1">
      <c r="C53" s="13" t="inlineStr">
        <is>
          <t>2.专升本英语（30分钟）：库课2000题词汇语法·第6-10题错题重做</t>
        </is>
      </c>
      <c r="D53" s="14" t="inlineStr">
        <is>
          <t>☐ 未完成</t>
        </is>
      </c>
    </row>
    <row r="54" ht="36" customHeight="1">
      <c r="C54" s="13" t="inlineStr">
        <is>
          <t>3.四级阅读（60分钟）：新东方Unit12·Passage1-3限时+生词复习</t>
        </is>
      </c>
      <c r="D54" s="14" t="inlineStr">
        <is>
          <t>☐ 未完成</t>
        </is>
      </c>
    </row>
    <row r="55" ht="20" customHeight="1">
      <c r="C55" s="13" t="inlineStr">
        <is>
          <t>4.四级听力（60分钟）：新东方Day12·完整训练+影子跟读</t>
        </is>
      </c>
      <c r="D55" s="14" t="inlineStr">
        <is>
          <t>☐ 未完成</t>
        </is>
      </c>
    </row>
    <row r="56" ht="36" customHeight="1">
      <c r="C56" s="17" t="inlineStr">
        <is>
          <t>5.词汇（45分钟）：不背单词APP四级词本新35词+复习（默写本听写验证）</t>
        </is>
      </c>
      <c r="D56" s="14" t="inlineStr">
        <is>
          <t>☐ 未完成</t>
        </is>
      </c>
    </row>
    <row r="57" ht="20" customHeight="1">
      <c r="C57" s="13" t="inlineStr">
        <is>
          <t>6.写作翻译（15分钟）：闪过真题·写作模板回顾+限时写作1篇</t>
        </is>
      </c>
      <c r="D57" s="14" t="inlineStr">
        <is>
          <t>☐ 未完成</t>
        </is>
      </c>
    </row>
    <row r="58" ht="36" customHeight="1">
      <c r="A58" s="12" t="inlineStr">
        <is>
          <t>2026-11-11</t>
        </is>
      </c>
      <c r="B58" s="8" t="inlineStr">
        <is>
          <t>周三</t>
        </is>
      </c>
      <c r="C58" s="13" t="inlineStr">
        <is>
          <t>1.高等数学（30分钟）：同济第3章 §3.5（约P134–140）·课后习题+综合练习+库课18套2题（库课第6套）</t>
        </is>
      </c>
      <c r="D58" s="14" t="inlineStr">
        <is>
          <t>☐ 未完成</t>
        </is>
      </c>
      <c r="E58" s="15">
        <f>COUNTIF(D58:D64,"☑ 已完成")/COUNTA(C58:C64)</f>
        <v/>
      </c>
      <c r="F58" s="14" t="n"/>
      <c r="G58" s="16" t="inlineStr"/>
    </row>
    <row r="59" ht="36" customHeight="1">
      <c r="C59" s="18" t="inlineStr">
        <is>
          <t>2.专升本英语（30分钟）：锐树网课《非谓语动词(一)(二)＋主谓一致》难点回看+综合练习→库课2000题词汇语法约15题</t>
        </is>
      </c>
      <c r="D59" s="14" t="inlineStr">
        <is>
          <t>☐ 未完成</t>
        </is>
      </c>
    </row>
    <row r="60" ht="20" customHeight="1">
      <c r="C60" s="13" t="inlineStr">
        <is>
          <t>3.四级阅读（45分钟）：Unit11-12·错题重做2篇</t>
        </is>
      </c>
      <c r="D60" s="14" t="inlineStr">
        <is>
          <t>☐ 未完成</t>
        </is>
      </c>
    </row>
    <row r="61" ht="20" customHeight="1">
      <c r="C61" s="13" t="inlineStr">
        <is>
          <t>4.四级听力（30分钟）：Day11-12·错题重听+影子跟读</t>
        </is>
      </c>
      <c r="D61" s="14" t="inlineStr">
        <is>
          <t>☐ 未完成</t>
        </is>
      </c>
    </row>
    <row r="62" ht="36" customHeight="1">
      <c r="C62" s="17" t="inlineStr">
        <is>
          <t>5.词汇（45分钟）：不背单词APP四级词本新35词+复习（生词重点巩固）</t>
        </is>
      </c>
      <c r="D62" s="14" t="inlineStr">
        <is>
          <t>☐ 未完成</t>
        </is>
      </c>
    </row>
    <row r="63" ht="20" customHeight="1">
      <c r="C63" s="13" t="inlineStr">
        <is>
          <t>6.写作翻译（30分钟）：闪过真题·写作+翻译综合练习</t>
        </is>
      </c>
      <c r="D63" s="14" t="inlineStr">
        <is>
          <t>☐ 未完成</t>
        </is>
      </c>
    </row>
    <row r="64" ht="20" customHeight="1">
      <c r="C64" s="18" t="inlineStr">
        <is>
          <t>7.机动（30分钟）：进度自查+错题归因+改进计划</t>
        </is>
      </c>
      <c r="D64" s="14" t="inlineStr">
        <is>
          <t>☐ 未完成</t>
        </is>
      </c>
    </row>
    <row r="65" ht="36" customHeight="1">
      <c r="A65" s="12" t="inlineStr">
        <is>
          <t>2026-11-12</t>
        </is>
      </c>
      <c r="B65" s="8" t="inlineStr">
        <is>
          <t>周四</t>
        </is>
      </c>
      <c r="C65" s="13" t="inlineStr">
        <is>
          <t>1.高等数学（30分钟）：复习第3章 §3.5（约P134–140）→综合复习+库课18套错题重做（库课第6套）</t>
        </is>
      </c>
      <c r="D65" s="14" t="inlineStr">
        <is>
          <t>☐ 未完成</t>
        </is>
      </c>
      <c r="E65" s="15">
        <f>COUNTIF(D65:D70,"☑ 已完成")/COUNTA(C65:C70)</f>
        <v/>
      </c>
      <c r="F65" s="14" t="n"/>
      <c r="G65" s="16" t="inlineStr"/>
    </row>
    <row r="66" ht="36" customHeight="1">
      <c r="C66" s="18" t="inlineStr">
        <is>
          <t>2.专升本英语（30分钟）：库课2000题词汇语法·第11-15题+本周错题总复习</t>
        </is>
      </c>
      <c r="D66" s="14" t="inlineStr">
        <is>
          <t>☐ 未完成</t>
        </is>
      </c>
    </row>
    <row r="67" ht="20" customHeight="1">
      <c r="C67" s="13" t="inlineStr">
        <is>
          <t>3.四级阅读（60分钟）：Unit11-12·限时4篇+错题分析</t>
        </is>
      </c>
      <c r="D67" s="14" t="inlineStr">
        <is>
          <t>☐ 未完成</t>
        </is>
      </c>
    </row>
    <row r="68" ht="20" customHeight="1">
      <c r="C68" s="13" t="inlineStr">
        <is>
          <t>4.四级听力（60分钟）：Day11-12·关键词默写+跟读</t>
        </is>
      </c>
      <c r="D68" s="14" t="inlineStr">
        <is>
          <t>☐ 未完成</t>
        </is>
      </c>
    </row>
    <row r="69" ht="36" customHeight="1">
      <c r="C69" s="18" t="inlineStr">
        <is>
          <t>5.词汇（45分钟）：不背单词APP四级词本新35词+复习（本周词汇总复习）</t>
        </is>
      </c>
      <c r="D69" s="14" t="inlineStr">
        <is>
          <t>☐ 未完成</t>
        </is>
      </c>
    </row>
    <row r="70" ht="20" customHeight="1">
      <c r="C70" s="13" t="inlineStr">
        <is>
          <t>6.写作翻译（15分钟）：闪过真题·翻译练习(英译汉5句)</t>
        </is>
      </c>
      <c r="D70" s="14" t="inlineStr">
        <is>
          <t>☐ 未完成</t>
        </is>
      </c>
    </row>
    <row r="71" ht="36" customHeight="1">
      <c r="A71" s="12" t="inlineStr">
        <is>
          <t>2026-11-13</t>
        </is>
      </c>
      <c r="B71" s="8" t="inlineStr">
        <is>
          <t>周五</t>
        </is>
      </c>
      <c r="C71" s="13" t="inlineStr">
        <is>
          <t>1.高等数学（30分钟）：同济第3章综合复习+例题（约P140–143）·概念理解+例题精做+库课18套2题（库课第7套）</t>
        </is>
      </c>
      <c r="D71" s="14" t="inlineStr">
        <is>
          <t>☐ 未完成</t>
        </is>
      </c>
      <c r="E71" s="15">
        <f>COUNTIF(D71:D77,"☑ 已完成")/COUNTA(C71:C77)</f>
        <v/>
      </c>
      <c r="F71" s="14" t="n"/>
      <c r="G71" s="16" t="inlineStr"/>
    </row>
    <row r="72" ht="36" customHeight="1">
      <c r="C72" s="13" t="inlineStr">
        <is>
          <t>2.专升本英语（30分钟）：锐树网课《词语辨析》精看+笔记标注→库课2000题词汇语法约15题</t>
        </is>
      </c>
      <c r="D72" s="14" t="inlineStr">
        <is>
          <t>☐ 未完成</t>
        </is>
      </c>
    </row>
    <row r="73" ht="36" customHeight="1">
      <c r="C73" s="13" t="inlineStr">
        <is>
          <t>3.四级阅读（45分钟）：新东方Unit13·Passage1-2限时(8min/篇)</t>
        </is>
      </c>
      <c r="D73" s="14" t="inlineStr">
        <is>
          <t>☐ 未完成</t>
        </is>
      </c>
    </row>
    <row r="74" ht="20" customHeight="1">
      <c r="C74" s="13" t="inlineStr">
        <is>
          <t>4.四级听力（30分钟）：新东方Day13·短新闻+长对话</t>
        </is>
      </c>
      <c r="D74" s="14" t="inlineStr">
        <is>
          <t>☐ 未完成</t>
        </is>
      </c>
    </row>
    <row r="75" ht="36" customHeight="1">
      <c r="C75" s="17" t="inlineStr">
        <is>
          <t>5.词汇（45分钟）：不背单词APP四级词本新35词+复习（主动回忆法）</t>
        </is>
      </c>
      <c r="D75" s="14" t="inlineStr">
        <is>
          <t>☐ 未完成</t>
        </is>
      </c>
    </row>
    <row r="76" ht="20" customHeight="1">
      <c r="C76" s="13" t="inlineStr">
        <is>
          <t>6.写作翻译（30分钟）：闪过真题·写作模板背诵+仿写1篇</t>
        </is>
      </c>
      <c r="D76" s="14" t="inlineStr">
        <is>
          <t>☐ 未完成</t>
        </is>
      </c>
    </row>
    <row r="77" ht="20" customHeight="1">
      <c r="C77" s="18" t="inlineStr">
        <is>
          <t>7.机动（30分钟）：整理高数错因(概念/计算/审题分类)</t>
        </is>
      </c>
      <c r="D77" s="14" t="inlineStr">
        <is>
          <t>☐ 未完成</t>
        </is>
      </c>
    </row>
    <row r="78" ht="36" customHeight="1">
      <c r="A78" s="12" t="inlineStr">
        <is>
          <t>2026-11-14</t>
        </is>
      </c>
      <c r="B78" s="8" t="inlineStr">
        <is>
          <t>周六</t>
        </is>
      </c>
      <c r="C78" s="13" t="inlineStr">
        <is>
          <t>1.高等数学（30分钟）：复习第3章综合复习+例题（约P140–143）→复习对应A日内容+库课18套2道新大题（库课第7套）</t>
        </is>
      </c>
      <c r="D78" s="14" t="inlineStr">
        <is>
          <t>☐ 未完成</t>
        </is>
      </c>
      <c r="E78" s="15">
        <f>COUNTIF(D78:D83,"☑ 已完成")/COUNTA(C78:C83)</f>
        <v/>
      </c>
      <c r="F78" s="14" t="n"/>
      <c r="G78" s="16" t="inlineStr"/>
    </row>
    <row r="79" ht="36" customHeight="1">
      <c r="C79" s="13" t="inlineStr">
        <is>
          <t>2.专升本英语（30分钟）：库课2000题词汇语法·第1-5题巩固+错题标注</t>
        </is>
      </c>
      <c r="D79" s="14" t="inlineStr">
        <is>
          <t>☐ 未完成</t>
        </is>
      </c>
    </row>
    <row r="80" ht="36" customHeight="1">
      <c r="C80" s="13" t="inlineStr">
        <is>
          <t>3.四级阅读（60分钟）：新东方Unit13·Passage1-3限时+生词复习</t>
        </is>
      </c>
      <c r="D80" s="14" t="inlineStr">
        <is>
          <t>☐ 未完成</t>
        </is>
      </c>
    </row>
    <row r="81" ht="20" customHeight="1">
      <c r="C81" s="13" t="inlineStr">
        <is>
          <t>4.四级听力（60分钟）：新东方Day13·完整训练+影子跟读</t>
        </is>
      </c>
      <c r="D81" s="14" t="inlineStr">
        <is>
          <t>☐ 未完成</t>
        </is>
      </c>
    </row>
    <row r="82" ht="36" customHeight="1">
      <c r="C82" s="17" t="inlineStr">
        <is>
          <t>5.词汇（45分钟）：不背单词APP四级词本新35词+复习（本周新词巩固）</t>
        </is>
      </c>
      <c r="D82" s="14" t="inlineStr">
        <is>
          <t>☐ 未完成</t>
        </is>
      </c>
    </row>
    <row r="83" ht="20" customHeight="1">
      <c r="C83" s="13" t="inlineStr">
        <is>
          <t>6.写作翻译（15分钟）：闪过真题·翻译练习(英译汉5句)</t>
        </is>
      </c>
      <c r="D83" s="14" t="inlineStr">
        <is>
          <t>☐ 未完成</t>
        </is>
      </c>
    </row>
    <row r="84" ht="36" customHeight="1">
      <c r="A84" s="12" t="inlineStr">
        <is>
          <t>2026-11-15</t>
        </is>
      </c>
      <c r="B84" s="8" t="inlineStr">
        <is>
          <t>周日</t>
        </is>
      </c>
      <c r="C84" s="13" t="inlineStr">
        <is>
          <t>1.数学模考：同济已学章节阶段自测(总习题+已学库课题)完整卷2小时估分</t>
        </is>
      </c>
      <c r="D84" s="14" t="inlineStr">
        <is>
          <t>☐ 未完成</t>
        </is>
      </c>
      <c r="E84" s="15">
        <f>COUNTIF(D84:D85,"☑ 已完成")/COUNTA(C84:C85)</f>
        <v/>
      </c>
      <c r="F84" s="14" t="n"/>
      <c r="G84" s="16" t="inlineStr">
        <is>
          <t>模考日</t>
        </is>
      </c>
    </row>
    <row r="85" ht="20" customHeight="1">
      <c r="C85" s="18" t="inlineStr">
        <is>
          <t>2.错题归因+周复盘+下周计划+进度自查</t>
        </is>
      </c>
      <c r="D85" s="14" t="inlineStr">
        <is>
          <t>☐ 未完成</t>
        </is>
      </c>
    </row>
    <row r="86" ht="36" customHeight="1">
      <c r="A86" s="12" t="inlineStr">
        <is>
          <t>2026-11-16</t>
        </is>
      </c>
      <c r="B86" s="8" t="inlineStr">
        <is>
          <t>周一</t>
        </is>
      </c>
      <c r="C86" s="13" t="inlineStr">
        <is>
          <t>1.高等数学（30分钟）：同济第3章综合复习+例题（约P143–146）·续讲精做+例题演练+库课18套2题（库课第7套）</t>
        </is>
      </c>
      <c r="D86" s="14" t="inlineStr">
        <is>
          <t>☐ 未完成</t>
        </is>
      </c>
      <c r="E86" s="15">
        <f>COUNTIF(D86:D92,"☑ 已完成")/COUNTA(C86:C92)</f>
        <v/>
      </c>
      <c r="F86" s="14" t="n"/>
      <c r="G86" s="16" t="inlineStr"/>
    </row>
    <row r="87" ht="36" customHeight="1">
      <c r="C87" s="13" t="inlineStr">
        <is>
          <t>2.专升本英语（30分钟）：锐树网课《定语从句》精看+笔记标注→库课2000题词汇语法约15题</t>
        </is>
      </c>
      <c r="D87" s="14" t="inlineStr">
        <is>
          <t>☐ 未完成</t>
        </is>
      </c>
    </row>
    <row r="88" ht="36" customHeight="1">
      <c r="C88" s="13" t="inlineStr">
        <is>
          <t>3.四级阅读（45分钟）：新东方Unit14·Passage1-2限时(8min/篇)</t>
        </is>
      </c>
      <c r="D88" s="14" t="inlineStr">
        <is>
          <t>☐ 未完成</t>
        </is>
      </c>
    </row>
    <row r="89" ht="20" customHeight="1">
      <c r="C89" s="13" t="inlineStr">
        <is>
          <t>4.四级听力（30分钟）：新东方Day14·短文理解+讲座</t>
        </is>
      </c>
      <c r="D89" s="14" t="inlineStr">
        <is>
          <t>☐ 未完成</t>
        </is>
      </c>
    </row>
    <row r="90" ht="36" customHeight="1">
      <c r="C90" s="17" t="inlineStr">
        <is>
          <t>5.词汇（45分钟）：不背单词APP四级词本新35词+复习，闪过默写本20词（错词清零+标记）</t>
        </is>
      </c>
      <c r="D90" s="14" t="inlineStr">
        <is>
          <t>☐ 未完成</t>
        </is>
      </c>
    </row>
    <row r="91" ht="20" customHeight="1">
      <c r="C91" s="13" t="inlineStr">
        <is>
          <t>6.写作翻译（30分钟）：闪过真题·翻译练习(汉译英5句)</t>
        </is>
      </c>
      <c r="D91" s="14" t="inlineStr">
        <is>
          <t>☐ 未完成</t>
        </is>
      </c>
    </row>
    <row r="92" ht="20" customHeight="1">
      <c r="C92" s="18" t="inlineStr">
        <is>
          <t>7.机动（30分钟）：锐树网课笔记回顾+语法考点整理</t>
        </is>
      </c>
      <c r="D92" s="14" t="inlineStr">
        <is>
          <t>☐ 未完成</t>
        </is>
      </c>
    </row>
    <row r="93" ht="36" customHeight="1">
      <c r="A93" s="12" t="inlineStr">
        <is>
          <t>2026-11-17</t>
        </is>
      </c>
      <c r="B93" s="8" t="inlineStr">
        <is>
          <t>周二</t>
        </is>
      </c>
      <c r="C93" s="13" t="inlineStr">
        <is>
          <t>1.高等数学（30分钟）：复习第3章综合复习+例题（约P143–146）→概念公式默写+库课18套2道计算题（库课第7套）</t>
        </is>
      </c>
      <c r="D93" s="14" t="inlineStr">
        <is>
          <t>☐ 未完成</t>
        </is>
      </c>
      <c r="E93" s="15">
        <f>COUNTIF(D93:D98,"☑ 已完成")/COUNTA(C93:C98)</f>
        <v/>
      </c>
      <c r="F93" s="14" t="n"/>
      <c r="G93" s="16" t="inlineStr"/>
    </row>
    <row r="94" ht="36" customHeight="1">
      <c r="C94" s="13" t="inlineStr">
        <is>
          <t>2.专升本英语（30分钟）：库课2000题词汇语法·第6-10题错题重做</t>
        </is>
      </c>
      <c r="D94" s="14" t="inlineStr">
        <is>
          <t>☐ 未完成</t>
        </is>
      </c>
    </row>
    <row r="95" ht="36" customHeight="1">
      <c r="C95" s="13" t="inlineStr">
        <is>
          <t>3.四级阅读（60分钟）：新东方Unit14·Passage1-3限时+生词复习</t>
        </is>
      </c>
      <c r="D95" s="14" t="inlineStr">
        <is>
          <t>☐ 未完成</t>
        </is>
      </c>
    </row>
    <row r="96" ht="20" customHeight="1">
      <c r="C96" s="13" t="inlineStr">
        <is>
          <t>4.四级听力（60分钟）：新东方Day14·完整训练+影子跟读</t>
        </is>
      </c>
      <c r="D96" s="14" t="inlineStr">
        <is>
          <t>☐ 未完成</t>
        </is>
      </c>
    </row>
    <row r="97" ht="36" customHeight="1">
      <c r="C97" s="17" t="inlineStr">
        <is>
          <t>5.词汇（45分钟）：不背单词APP四级词本新35词+复习，闪过默写本20词（默写本听写验证）</t>
        </is>
      </c>
      <c r="D97" s="14" t="inlineStr">
        <is>
          <t>☐ 未完成</t>
        </is>
      </c>
    </row>
    <row r="98" ht="20" customHeight="1">
      <c r="C98" s="13" t="inlineStr">
        <is>
          <t>6.写作翻译（15分钟）：闪过真题·写作模板回顾+限时写作1篇</t>
        </is>
      </c>
      <c r="D98" s="14" t="inlineStr">
        <is>
          <t>☐ 未完成</t>
        </is>
      </c>
    </row>
    <row r="99" ht="36" customHeight="1">
      <c r="A99" s="12" t="inlineStr">
        <is>
          <t>2026-11-18</t>
        </is>
      </c>
      <c r="B99" s="8" t="inlineStr">
        <is>
          <t>周三</t>
        </is>
      </c>
      <c r="C99" s="13" t="inlineStr">
        <is>
          <t>1.高等数学（30分钟）：同济第3章综合复习+例题（约P146–148）·课后习题+综合练习+库课18套2题（库课第7套）</t>
        </is>
      </c>
      <c r="D99" s="14" t="inlineStr">
        <is>
          <t>☐ 未完成</t>
        </is>
      </c>
      <c r="E99" s="15">
        <f>COUNTIF(D99:D105,"☑ 已完成")/COUNTA(C99:C105)</f>
        <v/>
      </c>
      <c r="F99" s="14" t="n"/>
      <c r="G99" s="16" t="inlineStr"/>
    </row>
    <row r="100" ht="36" customHeight="1">
      <c r="C100" s="18" t="inlineStr">
        <is>
          <t>2.专升本英语（30分钟）：锐树网课《名词性从句》难点回看+综合练习→库课2000题词汇语法约15题</t>
        </is>
      </c>
      <c r="D100" s="14" t="inlineStr">
        <is>
          <t>☐ 未完成</t>
        </is>
      </c>
    </row>
    <row r="101" ht="20" customHeight="1">
      <c r="C101" s="13" t="inlineStr">
        <is>
          <t>3.四级阅读（45分钟）：Unit13-14·错题重做2篇</t>
        </is>
      </c>
      <c r="D101" s="14" t="inlineStr">
        <is>
          <t>☐ 未完成</t>
        </is>
      </c>
    </row>
    <row r="102" ht="20" customHeight="1">
      <c r="C102" s="13" t="inlineStr">
        <is>
          <t>4.四级听力（30分钟）：Day13-14·错题重听+影子跟读</t>
        </is>
      </c>
      <c r="D102" s="14" t="inlineStr">
        <is>
          <t>☐ 未完成</t>
        </is>
      </c>
    </row>
    <row r="103" ht="36" customHeight="1">
      <c r="C103" s="17" t="inlineStr">
        <is>
          <t>5.词汇（45分钟）：不背单词APP四级词本新35词+复习，闪过默写本20词（生词重点巩固）</t>
        </is>
      </c>
      <c r="D103" s="14" t="inlineStr">
        <is>
          <t>☐ 未完成</t>
        </is>
      </c>
    </row>
    <row r="104" ht="20" customHeight="1">
      <c r="C104" s="13" t="inlineStr">
        <is>
          <t>6.写作翻译（30分钟）：闪过真题·写作+翻译综合练习</t>
        </is>
      </c>
      <c r="D104" s="14" t="inlineStr">
        <is>
          <t>☐ 未完成</t>
        </is>
      </c>
    </row>
    <row r="105" ht="20" customHeight="1">
      <c r="C105" s="18" t="inlineStr">
        <is>
          <t>7.机动（30分钟）：进度自查+错题归因+改进计划</t>
        </is>
      </c>
      <c r="D105" s="14" t="inlineStr">
        <is>
          <t>☐ 未完成</t>
        </is>
      </c>
    </row>
    <row r="106" ht="36" customHeight="1">
      <c r="A106" s="12" t="inlineStr">
        <is>
          <t>2026-11-19</t>
        </is>
      </c>
      <c r="B106" s="8" t="inlineStr">
        <is>
          <t>周四</t>
        </is>
      </c>
      <c r="C106" s="13" t="inlineStr">
        <is>
          <t>1.高等数学（30分钟）：复习第3章综合复习+例题（约P146–148）→综合复习+库课18套错题重做（库课第7套）</t>
        </is>
      </c>
      <c r="D106" s="14" t="inlineStr">
        <is>
          <t>☐ 未完成</t>
        </is>
      </c>
      <c r="E106" s="15">
        <f>COUNTIF(D106:D111,"☑ 已完成")/COUNTA(C106:C111)</f>
        <v/>
      </c>
      <c r="F106" s="14" t="n"/>
      <c r="G106" s="16" t="inlineStr"/>
    </row>
    <row r="107" ht="36" customHeight="1">
      <c r="C107" s="18" t="inlineStr">
        <is>
          <t>2.专升本英语（30分钟）：库课2000题词汇语法·第11-15题+本周错题总复习</t>
        </is>
      </c>
      <c r="D107" s="14" t="inlineStr">
        <is>
          <t>☐ 未完成</t>
        </is>
      </c>
    </row>
    <row r="108" ht="20" customHeight="1">
      <c r="C108" s="13" t="inlineStr">
        <is>
          <t>3.四级阅读（60分钟）：Unit13-14·限时4篇+错题分析</t>
        </is>
      </c>
      <c r="D108" s="14" t="inlineStr">
        <is>
          <t>☐ 未完成</t>
        </is>
      </c>
    </row>
    <row r="109" ht="20" customHeight="1">
      <c r="C109" s="13" t="inlineStr">
        <is>
          <t>4.四级听力（60分钟）：Day13-14·关键词默写+跟读</t>
        </is>
      </c>
      <c r="D109" s="14" t="inlineStr">
        <is>
          <t>☐ 未完成</t>
        </is>
      </c>
    </row>
    <row r="110" ht="36" customHeight="1">
      <c r="C110" s="18" t="inlineStr">
        <is>
          <t>5.词汇（45分钟）：不背单词APP四级词本新35词+复习，闪过默写本20词（本周词汇总复习）</t>
        </is>
      </c>
      <c r="D110" s="14" t="inlineStr">
        <is>
          <t>☐ 未完成</t>
        </is>
      </c>
    </row>
    <row r="111" ht="20" customHeight="1">
      <c r="C111" s="13" t="inlineStr">
        <is>
          <t>6.写作翻译（15分钟）：闪过真题·翻译练习(英译汉5句)</t>
        </is>
      </c>
      <c r="D111" s="14" t="inlineStr">
        <is>
          <t>☐ 未完成</t>
        </is>
      </c>
    </row>
    <row r="112" ht="36" customHeight="1">
      <c r="A112" s="12" t="inlineStr">
        <is>
          <t>2026-11-20</t>
        </is>
      </c>
      <c r="B112" s="8" t="inlineStr">
        <is>
          <t>周五</t>
        </is>
      </c>
      <c r="C112" s="13" t="inlineStr">
        <is>
          <t>1.高等数学（30分钟）：同济第4章·不定积分 §4.1（约P150–157）·概念理解+例题精做+库课18套2题（库课第8套）</t>
        </is>
      </c>
      <c r="D112" s="14" t="inlineStr">
        <is>
          <t>☐ 未完成</t>
        </is>
      </c>
      <c r="E112" s="15">
        <f>COUNTIF(D112:D118,"☑ 已完成")/COUNTA(C112:C118)</f>
        <v/>
      </c>
      <c r="F112" s="14" t="n"/>
      <c r="G112" s="16" t="inlineStr"/>
    </row>
    <row r="113" ht="36" customHeight="1">
      <c r="C113" s="13" t="inlineStr">
        <is>
          <t>2.专升本英语（30分钟）：锐树网课《状语从句＋虚拟语气》精看+笔记标注→库课2000题词汇语法约15题</t>
        </is>
      </c>
      <c r="D113" s="14" t="inlineStr">
        <is>
          <t>☐ 未完成</t>
        </is>
      </c>
    </row>
    <row r="114" ht="36" customHeight="1">
      <c r="C114" s="13" t="inlineStr">
        <is>
          <t>3.四级阅读（45分钟）：新东方Unit15·Passage1-2限时(8min/篇)</t>
        </is>
      </c>
      <c r="D114" s="14" t="inlineStr">
        <is>
          <t>☐ 未完成</t>
        </is>
      </c>
    </row>
    <row r="115" ht="20" customHeight="1">
      <c r="C115" s="13" t="inlineStr">
        <is>
          <t>4.四级听力（30分钟）：新东方Day15·短新闻+长对话</t>
        </is>
      </c>
      <c r="D115" s="14" t="inlineStr">
        <is>
          <t>☐ 未完成</t>
        </is>
      </c>
    </row>
    <row r="116" ht="36" customHeight="1">
      <c r="C116" s="17" t="inlineStr">
        <is>
          <t>5.词汇（45分钟）：不背单词APP四级词本新35词+复习，闪过默写本20词（主动回忆法）</t>
        </is>
      </c>
      <c r="D116" s="14" t="inlineStr">
        <is>
          <t>☐ 未完成</t>
        </is>
      </c>
    </row>
    <row r="117" ht="20" customHeight="1">
      <c r="C117" s="13" t="inlineStr">
        <is>
          <t>6.写作翻译（30分钟）：闪过真题·写作模板背诵+仿写1篇</t>
        </is>
      </c>
      <c r="D117" s="14" t="inlineStr">
        <is>
          <t>☐ 未完成</t>
        </is>
      </c>
    </row>
    <row r="118" ht="20" customHeight="1">
      <c r="C118" s="18" t="inlineStr">
        <is>
          <t>7.机动（30分钟）：整理高数错因(概念/计算/审题分类)</t>
        </is>
      </c>
      <c r="D118" s="14" t="inlineStr">
        <is>
          <t>☐ 未完成</t>
        </is>
      </c>
    </row>
    <row r="119" ht="36" customHeight="1">
      <c r="A119" s="12" t="inlineStr">
        <is>
          <t>2026-11-21</t>
        </is>
      </c>
      <c r="B119" s="8" t="inlineStr">
        <is>
          <t>周六</t>
        </is>
      </c>
      <c r="C119" s="13" t="inlineStr">
        <is>
          <t>1.高等数学（30分钟）：复习第4章·不定积分 §4.1（约P150–157）→复习对应A日内容+库课18套2道新大题（库课第8套）</t>
        </is>
      </c>
      <c r="D119" s="14" t="inlineStr">
        <is>
          <t>☐ 未完成</t>
        </is>
      </c>
      <c r="E119" s="15">
        <f>COUNTIF(D119:D124,"☑ 已完成")/COUNTA(C119:C124)</f>
        <v/>
      </c>
      <c r="F119" s="14" t="n"/>
      <c r="G119" s="16" t="inlineStr"/>
    </row>
    <row r="120" ht="36" customHeight="1">
      <c r="C120" s="13" t="inlineStr">
        <is>
          <t>2.专升本英语（30分钟）：库课2000题词汇语法·第1-5题巩固+错题标注</t>
        </is>
      </c>
      <c r="D120" s="14" t="inlineStr">
        <is>
          <t>☐ 未完成</t>
        </is>
      </c>
    </row>
    <row r="121" ht="36" customHeight="1">
      <c r="C121" s="13" t="inlineStr">
        <is>
          <t>3.四级阅读（60分钟）：新东方Unit15·Passage1-3限时+生词复习</t>
        </is>
      </c>
      <c r="D121" s="14" t="inlineStr">
        <is>
          <t>☐ 未完成</t>
        </is>
      </c>
    </row>
    <row r="122" ht="20" customHeight="1">
      <c r="C122" s="13" t="inlineStr">
        <is>
          <t>4.四级听力（60分钟）：新东方Day15·完整训练+影子跟读</t>
        </is>
      </c>
      <c r="D122" s="14" t="inlineStr">
        <is>
          <t>☐ 未完成</t>
        </is>
      </c>
    </row>
    <row r="123" ht="36" customHeight="1">
      <c r="C123" s="17" t="inlineStr">
        <is>
          <t>5.词汇（45分钟）：不背单词APP四级词本新35词+复习，闪过默写本20词（本周新词巩固）</t>
        </is>
      </c>
      <c r="D123" s="14" t="inlineStr">
        <is>
          <t>☐ 未完成</t>
        </is>
      </c>
    </row>
    <row r="124" ht="20" customHeight="1">
      <c r="C124" s="13" t="inlineStr">
        <is>
          <t>6.写作翻译（15分钟）：闪过真题·翻译练习(英译汉5句)</t>
        </is>
      </c>
      <c r="D124" s="14" t="inlineStr">
        <is>
          <t>☐ 未完成</t>
        </is>
      </c>
    </row>
    <row r="125" ht="20" customHeight="1">
      <c r="A125" s="12" t="inlineStr">
        <is>
          <t>2026-11-22</t>
        </is>
      </c>
      <c r="B125" s="8" t="inlineStr">
        <is>
          <t>周日</t>
        </is>
      </c>
      <c r="C125" s="13" t="inlineStr">
        <is>
          <t>1.四级模考：闪过真题第4套完整真题2小时按710分估分</t>
        </is>
      </c>
      <c r="D125" s="14" t="inlineStr">
        <is>
          <t>☐ 未完成</t>
        </is>
      </c>
      <c r="E125" s="15">
        <f>COUNTIF(D125:D126,"☑ 已完成")/COUNTA(C125:C126)</f>
        <v/>
      </c>
      <c r="F125" s="14" t="n"/>
      <c r="G125" s="16" t="inlineStr">
        <is>
          <t>模考日</t>
        </is>
      </c>
    </row>
    <row r="126" ht="20" customHeight="1">
      <c r="C126" s="18" t="inlineStr">
        <is>
          <t>2.错题归因+周复盘+下周计划</t>
        </is>
      </c>
      <c r="D126" s="14" t="inlineStr">
        <is>
          <t>☐ 未完成</t>
        </is>
      </c>
    </row>
    <row r="127" ht="36" customHeight="1">
      <c r="A127" s="12" t="inlineStr">
        <is>
          <t>2026-11-23</t>
        </is>
      </c>
      <c r="B127" s="8" t="inlineStr">
        <is>
          <t>周一</t>
        </is>
      </c>
      <c r="C127" s="13" t="inlineStr">
        <is>
          <t>1.高等数学（30分钟）：同济第4章·不定积分 §4.2（约P157–164）·续讲精做+例题演练+库课18套2题（库课第8套）</t>
        </is>
      </c>
      <c r="D127" s="14" t="inlineStr">
        <is>
          <t>☐ 未完成</t>
        </is>
      </c>
      <c r="E127" s="15">
        <f>COUNTIF(D127:D133,"☑ 已完成")/COUNTA(C127:C133)</f>
        <v/>
      </c>
      <c r="F127" s="14" t="n"/>
      <c r="G127" s="16" t="inlineStr"/>
    </row>
    <row r="128" ht="36" customHeight="1">
      <c r="C128" s="13" t="inlineStr">
        <is>
          <t>2.专升本英语（30分钟）：锐树网课《强调句倒装句》精看+笔记标注→库课2000题词汇语法约15题</t>
        </is>
      </c>
      <c r="D128" s="14" t="inlineStr">
        <is>
          <t>☐ 未完成</t>
        </is>
      </c>
    </row>
    <row r="129" ht="36" customHeight="1">
      <c r="C129" s="13" t="inlineStr">
        <is>
          <t>3.四级阅读（45分钟）：新东方Unit16·Passage1-2限时(8min/篇)</t>
        </is>
      </c>
      <c r="D129" s="14" t="inlineStr">
        <is>
          <t>☐ 未完成</t>
        </is>
      </c>
    </row>
    <row r="130" ht="20" customHeight="1">
      <c r="C130" s="13" t="inlineStr">
        <is>
          <t>4.四级听力（30分钟）：新东方Day16·短文理解+讲座</t>
        </is>
      </c>
      <c r="D130" s="14" t="inlineStr">
        <is>
          <t>☐ 未完成</t>
        </is>
      </c>
    </row>
    <row r="131" ht="36" customHeight="1">
      <c r="C131" s="17" t="inlineStr">
        <is>
          <t>5.词汇（45分钟）：不背单词APP四级词本新35词+复习，闪过默写本20词（错词清零+标记）</t>
        </is>
      </c>
      <c r="D131" s="14" t="inlineStr">
        <is>
          <t>☐ 未完成</t>
        </is>
      </c>
    </row>
    <row r="132" ht="20" customHeight="1">
      <c r="C132" s="13" t="inlineStr">
        <is>
          <t>6.写作翻译（30分钟）：闪过真题·翻译练习(汉译英5句)</t>
        </is>
      </c>
      <c r="D132" s="14" t="inlineStr">
        <is>
          <t>☐ 未完成</t>
        </is>
      </c>
    </row>
    <row r="133" ht="20" customHeight="1">
      <c r="C133" s="18" t="inlineStr">
        <is>
          <t>7.机动（30分钟）：锐树网课笔记回顾+语法考点整理</t>
        </is>
      </c>
      <c r="D133" s="14" t="inlineStr">
        <is>
          <t>☐ 未完成</t>
        </is>
      </c>
    </row>
    <row r="134" ht="36" customHeight="1">
      <c r="A134" s="12" t="inlineStr">
        <is>
          <t>2026-11-24</t>
        </is>
      </c>
      <c r="B134" s="8" t="inlineStr">
        <is>
          <t>周二</t>
        </is>
      </c>
      <c r="C134" s="13" t="inlineStr">
        <is>
          <t>1.高等数学（30分钟）：复习第4章·不定积分 §4.2（约P157–164）→概念公式默写+库课18套2道计算题（库课第8套）</t>
        </is>
      </c>
      <c r="D134" s="14" t="inlineStr">
        <is>
          <t>☐ 未完成</t>
        </is>
      </c>
      <c r="E134" s="15">
        <f>COUNTIF(D134:D139,"☑ 已完成")/COUNTA(C134:C139)</f>
        <v/>
      </c>
      <c r="F134" s="14" t="n"/>
      <c r="G134" s="16" t="inlineStr"/>
    </row>
    <row r="135" ht="36" customHeight="1">
      <c r="C135" s="13" t="inlineStr">
        <is>
          <t>2.专升本英语（30分钟）：库课2000题词汇语法·第6-10题错题重做</t>
        </is>
      </c>
      <c r="D135" s="14" t="inlineStr">
        <is>
          <t>☐ 未完成</t>
        </is>
      </c>
    </row>
    <row r="136" ht="36" customHeight="1">
      <c r="C136" s="13" t="inlineStr">
        <is>
          <t>3.四级阅读（60分钟）：新东方Unit16·Passage1-3限时+生词复习</t>
        </is>
      </c>
      <c r="D136" s="14" t="inlineStr">
        <is>
          <t>☐ 未完成</t>
        </is>
      </c>
    </row>
    <row r="137" ht="20" customHeight="1">
      <c r="C137" s="13" t="inlineStr">
        <is>
          <t>4.四级听力（60分钟）：新东方Day16·完整训练+影子跟读</t>
        </is>
      </c>
      <c r="D137" s="14" t="inlineStr">
        <is>
          <t>☐ 未完成</t>
        </is>
      </c>
    </row>
    <row r="138" ht="36" customHeight="1">
      <c r="C138" s="17" t="inlineStr">
        <is>
          <t>5.词汇（45分钟）：不背单词APP四级词本新35词+复习，闪过默写本20词（默写本听写验证）</t>
        </is>
      </c>
      <c r="D138" s="14" t="inlineStr">
        <is>
          <t>☐ 未完成</t>
        </is>
      </c>
    </row>
    <row r="139" ht="20" customHeight="1">
      <c r="C139" s="13" t="inlineStr">
        <is>
          <t>6.写作翻译（15分钟）：闪过真题·写作模板回顾+限时写作1篇</t>
        </is>
      </c>
      <c r="D139" s="14" t="inlineStr">
        <is>
          <t>☐ 未完成</t>
        </is>
      </c>
    </row>
    <row r="140" ht="52" customHeight="1">
      <c r="A140" s="12" t="inlineStr">
        <is>
          <t>2026-11-25</t>
        </is>
      </c>
      <c r="B140" s="8" t="inlineStr">
        <is>
          <t>周三</t>
        </is>
      </c>
      <c r="C140" s="13" t="inlineStr">
        <is>
          <t>1.高等数学（30分钟）：同济第4章·不定积分 §4.1–2(全节综合)（约P164–172）·课后习题+综合练习+库课18套2题（库课第8套）</t>
        </is>
      </c>
      <c r="D140" s="14" t="inlineStr">
        <is>
          <t>☐ 未完成</t>
        </is>
      </c>
      <c r="E140" s="15">
        <f>COUNTIF(D140:D146,"☑ 已完成")/COUNTA(C140:C146)</f>
        <v/>
      </c>
      <c r="F140" s="14" t="n"/>
      <c r="G140" s="16" t="inlineStr"/>
    </row>
    <row r="141" ht="36" customHeight="1">
      <c r="C141" s="18" t="inlineStr">
        <is>
          <t>2.专升本英语（30分钟）：锐树网课《习题精析·词汇与结构》难点回看+综合练习→库课2000题词汇语法约15题</t>
        </is>
      </c>
      <c r="D141" s="14" t="inlineStr">
        <is>
          <t>☐ 未完成</t>
        </is>
      </c>
    </row>
    <row r="142" ht="20" customHeight="1">
      <c r="C142" s="13" t="inlineStr">
        <is>
          <t>3.四级阅读（45分钟）：Unit15-16·错题重做2篇</t>
        </is>
      </c>
      <c r="D142" s="14" t="inlineStr">
        <is>
          <t>☐ 未完成</t>
        </is>
      </c>
    </row>
    <row r="143" ht="20" customHeight="1">
      <c r="C143" s="13" t="inlineStr">
        <is>
          <t>4.四级听力（30分钟）：Day15-16·错题重听+影子跟读</t>
        </is>
      </c>
      <c r="D143" s="14" t="inlineStr">
        <is>
          <t>☐ 未完成</t>
        </is>
      </c>
    </row>
    <row r="144" ht="36" customHeight="1">
      <c r="C144" s="17" t="inlineStr">
        <is>
          <t>5.词汇（45分钟）：不背单词APP四级词本新35词+复习，闪过默写本20词（生词重点巩固）</t>
        </is>
      </c>
      <c r="D144" s="14" t="inlineStr">
        <is>
          <t>☐ 未完成</t>
        </is>
      </c>
    </row>
    <row r="145" ht="20" customHeight="1">
      <c r="C145" s="13" t="inlineStr">
        <is>
          <t>6.写作翻译（30分钟）：闪过真题·写作+翻译综合练习</t>
        </is>
      </c>
      <c r="D145" s="14" t="inlineStr">
        <is>
          <t>☐ 未完成</t>
        </is>
      </c>
    </row>
    <row r="146" ht="20" customHeight="1">
      <c r="C146" s="18" t="inlineStr">
        <is>
          <t>7.机动（30分钟）：进度自查+错题归因+改进计划</t>
        </is>
      </c>
      <c r="D146" s="14" t="inlineStr">
        <is>
          <t>☐ 未完成</t>
        </is>
      </c>
    </row>
    <row r="147" ht="52" customHeight="1">
      <c r="A147" s="12" t="inlineStr">
        <is>
          <t>2026-11-26</t>
        </is>
      </c>
      <c r="B147" s="8" t="inlineStr">
        <is>
          <t>周四</t>
        </is>
      </c>
      <c r="C147" s="13" t="inlineStr">
        <is>
          <t>1.高等数学（30分钟）：复习第4章·不定积分 §4.1–2(全节综合)（约P164–172）→综合复习+库课18套错题重做（库课第8套）</t>
        </is>
      </c>
      <c r="D147" s="14" t="inlineStr">
        <is>
          <t>☐ 未完成</t>
        </is>
      </c>
      <c r="E147" s="15">
        <f>COUNTIF(D147:D152,"☑ 已完成")/COUNTA(C147:C152)</f>
        <v/>
      </c>
      <c r="F147" s="14" t="n"/>
      <c r="G147" s="16" t="inlineStr"/>
    </row>
    <row r="148" ht="36" customHeight="1">
      <c r="C148" s="18" t="inlineStr">
        <is>
          <t>2.专升本英语（30分钟）：库课2000题词汇语法·第11-15题+本周错题总复习</t>
        </is>
      </c>
      <c r="D148" s="14" t="inlineStr">
        <is>
          <t>☐ 未完成</t>
        </is>
      </c>
    </row>
    <row r="149" ht="20" customHeight="1">
      <c r="C149" s="13" t="inlineStr">
        <is>
          <t>3.四级阅读（60分钟）：Unit15-16·限时4篇+错题分析</t>
        </is>
      </c>
      <c r="D149" s="14" t="inlineStr">
        <is>
          <t>☐ 未完成</t>
        </is>
      </c>
    </row>
    <row r="150" ht="20" customHeight="1">
      <c r="C150" s="13" t="inlineStr">
        <is>
          <t>4.四级听力（60分钟）：Day15-16·关键词默写+跟读</t>
        </is>
      </c>
      <c r="D150" s="14" t="inlineStr">
        <is>
          <t>☐ 未完成</t>
        </is>
      </c>
    </row>
    <row r="151" ht="36" customHeight="1">
      <c r="C151" s="18" t="inlineStr">
        <is>
          <t>5.词汇（45分钟）：不背单词APP四级词本新35词+复习，闪过默写本20词（本周词汇总复习）</t>
        </is>
      </c>
      <c r="D151" s="14" t="inlineStr">
        <is>
          <t>☐ 未完成</t>
        </is>
      </c>
    </row>
    <row r="152" ht="20" customHeight="1">
      <c r="C152" s="13" t="inlineStr">
        <is>
          <t>6.写作翻译（15分钟）：闪过真题·翻译练习(英译汉5句)</t>
        </is>
      </c>
      <c r="D152" s="14" t="inlineStr">
        <is>
          <t>☐ 未完成</t>
        </is>
      </c>
    </row>
    <row r="153" ht="36" customHeight="1">
      <c r="A153" s="12" t="inlineStr">
        <is>
          <t>2026-11-27</t>
        </is>
      </c>
      <c r="B153" s="8" t="inlineStr">
        <is>
          <t>周五</t>
        </is>
      </c>
      <c r="C153" s="13" t="inlineStr">
        <is>
          <t>1.高等数学（30分钟）：同济第4章·不定积分 §4.3（约P172–178）·概念理解+例题精做+库课18套2题（库课第9套）</t>
        </is>
      </c>
      <c r="D153" s="14" t="inlineStr">
        <is>
          <t>☐ 未完成</t>
        </is>
      </c>
      <c r="E153" s="15">
        <f>COUNTIF(D153:D159,"☑ 已完成")/COUNTA(C153:C159)</f>
        <v/>
      </c>
      <c r="F153" s="14" t="n"/>
      <c r="G153" s="16" t="inlineStr"/>
    </row>
    <row r="154" ht="36" customHeight="1">
      <c r="C154" s="13" t="inlineStr">
        <is>
          <t>2.专升本英语（30分钟）：锐树网课《感叹/祈使/反意》精看+笔记标注→库课2000题阅读约15题</t>
        </is>
      </c>
      <c r="D154" s="14" t="inlineStr">
        <is>
          <t>☐ 未完成</t>
        </is>
      </c>
    </row>
    <row r="155" ht="36" customHeight="1">
      <c r="C155" s="13" t="inlineStr">
        <is>
          <t>3.四级阅读（45分钟）：新东方Unit17·Passage1-2限时(8min/篇)</t>
        </is>
      </c>
      <c r="D155" s="14" t="inlineStr">
        <is>
          <t>☐ 未完成</t>
        </is>
      </c>
    </row>
    <row r="156" ht="20" customHeight="1">
      <c r="C156" s="13" t="inlineStr">
        <is>
          <t>4.四级听力（30分钟）：新东方Day17·短新闻+长对话</t>
        </is>
      </c>
      <c r="D156" s="14" t="inlineStr">
        <is>
          <t>☐ 未完成</t>
        </is>
      </c>
    </row>
    <row r="157" ht="36" customHeight="1">
      <c r="C157" s="17" t="inlineStr">
        <is>
          <t>5.词汇（45分钟）：不背单词APP四级词本新35词+复习，闪过默写本20词（主动回忆法）</t>
        </is>
      </c>
      <c r="D157" s="14" t="inlineStr">
        <is>
          <t>☐ 未完成</t>
        </is>
      </c>
    </row>
    <row r="158" ht="20" customHeight="1">
      <c r="C158" s="13" t="inlineStr">
        <is>
          <t>6.写作翻译（30分钟）：闪过真题·写作模板背诵+仿写1篇</t>
        </is>
      </c>
      <c r="D158" s="14" t="inlineStr">
        <is>
          <t>☐ 未完成</t>
        </is>
      </c>
    </row>
    <row r="159" ht="20" customHeight="1">
      <c r="C159" s="18" t="inlineStr">
        <is>
          <t>7.机动（30分钟）：整理高数错因(概念/计算/审题分类)</t>
        </is>
      </c>
      <c r="D159" s="14" t="inlineStr">
        <is>
          <t>☐ 未完成</t>
        </is>
      </c>
    </row>
    <row r="160" ht="36" customHeight="1">
      <c r="A160" s="12" t="inlineStr">
        <is>
          <t>2026-11-28</t>
        </is>
      </c>
      <c r="B160" s="8" t="inlineStr">
        <is>
          <t>周六</t>
        </is>
      </c>
      <c r="C160" s="13" t="inlineStr">
        <is>
          <t>1.高等数学（30分钟）：复习第4章·不定积分 §4.3（约P172–178）→复习对应A日内容+库课18套2道新大题（库课第9套）</t>
        </is>
      </c>
      <c r="D160" s="14" t="inlineStr">
        <is>
          <t>☐ 未完成</t>
        </is>
      </c>
      <c r="E160" s="15">
        <f>COUNTIF(D160:D165,"☑ 已完成")/COUNTA(C160:C165)</f>
        <v/>
      </c>
      <c r="F160" s="14" t="n"/>
      <c r="G160" s="16" t="inlineStr"/>
    </row>
    <row r="161" ht="36" customHeight="1">
      <c r="C161" s="13" t="inlineStr">
        <is>
          <t>2.专升本英语（30分钟）：库课2000题阅读·第1-5题巩固+错题标注</t>
        </is>
      </c>
      <c r="D161" s="14" t="inlineStr">
        <is>
          <t>☐ 未完成</t>
        </is>
      </c>
    </row>
    <row r="162" ht="36" customHeight="1">
      <c r="C162" s="13" t="inlineStr">
        <is>
          <t>3.四级阅读（60分钟）：新东方Unit17·Passage1-3限时+生词复习</t>
        </is>
      </c>
      <c r="D162" s="14" t="inlineStr">
        <is>
          <t>☐ 未完成</t>
        </is>
      </c>
    </row>
    <row r="163" ht="20" customHeight="1">
      <c r="C163" s="13" t="inlineStr">
        <is>
          <t>4.四级听力（60分钟）：新东方Day17·完整训练+影子跟读</t>
        </is>
      </c>
      <c r="D163" s="14" t="inlineStr">
        <is>
          <t>☐ 未完成</t>
        </is>
      </c>
    </row>
    <row r="164" ht="36" customHeight="1">
      <c r="C164" s="17" t="inlineStr">
        <is>
          <t>5.词汇（45分钟）：不背单词APP四级词本新35词+复习，闪过默写本20词（本周新词巩固）</t>
        </is>
      </c>
      <c r="D164" s="14" t="inlineStr">
        <is>
          <t>☐ 未完成</t>
        </is>
      </c>
    </row>
    <row r="165" ht="20" customHeight="1">
      <c r="C165" s="13" t="inlineStr">
        <is>
          <t>6.写作翻译（15分钟）：闪过真题·翻译练习(英译汉5句)</t>
        </is>
      </c>
      <c r="D165" s="14" t="inlineStr">
        <is>
          <t>☐ 未完成</t>
        </is>
      </c>
    </row>
    <row r="166" ht="36" customHeight="1">
      <c r="A166" s="12" t="inlineStr">
        <is>
          <t>2026-11-29</t>
        </is>
      </c>
      <c r="B166" s="8" t="inlineStr">
        <is>
          <t>周日</t>
        </is>
      </c>
      <c r="C166" s="13" t="inlineStr">
        <is>
          <t>1.数学模考：同济已学章节阶段自测(总习题+已学库课题)完整卷2小时估分</t>
        </is>
      </c>
      <c r="D166" s="14" t="inlineStr">
        <is>
          <t>☐ 未完成</t>
        </is>
      </c>
      <c r="E166" s="15">
        <f>COUNTIF(D166:D167,"☑ 已完成")/COUNTA(C166:C167)</f>
        <v/>
      </c>
      <c r="F166" s="14" t="n"/>
      <c r="G166" s="16" t="inlineStr">
        <is>
          <t>模考日</t>
        </is>
      </c>
    </row>
    <row r="167" ht="20" customHeight="1">
      <c r="C167" s="18" t="inlineStr">
        <is>
          <t>2.错题归因+周复盘+下周计划+进度自查</t>
        </is>
      </c>
      <c r="D167" s="14" t="inlineStr">
        <is>
          <t>☐ 未完成</t>
        </is>
      </c>
    </row>
    <row r="168" ht="36" customHeight="1">
      <c r="A168" s="12" t="inlineStr">
        <is>
          <t>2026-11-30</t>
        </is>
      </c>
      <c r="B168" s="8" t="inlineStr">
        <is>
          <t>周一</t>
        </is>
      </c>
      <c r="C168" s="13" t="inlineStr">
        <is>
          <t>1.高等数学（30分钟）：同济第4章·不定积分 §4.4（约P178–184）·续讲精做+例题演练+库课18套2题（库课第9套）</t>
        </is>
      </c>
      <c r="D168" s="14" t="inlineStr">
        <is>
          <t>☐ 未完成</t>
        </is>
      </c>
      <c r="E168" s="15">
        <f>COUNTIF(D168:D174,"☑ 已完成")/COUNTA(C168:C174)</f>
        <v/>
      </c>
      <c r="F168" s="14" t="n"/>
      <c r="G168" s="16" t="inlineStr">
        <is>
          <t>里程碑自查·四级模考≥380</t>
        </is>
      </c>
    </row>
    <row r="169" ht="36" customHeight="1">
      <c r="C169" s="13" t="inlineStr">
        <is>
          <t>2.专升本英语（30分钟）：锐树网课《连词成句(一)(二)》精看+笔记标注→库课2000题阅读约15题</t>
        </is>
      </c>
      <c r="D169" s="14" t="inlineStr">
        <is>
          <t>☐ 未完成</t>
        </is>
      </c>
    </row>
    <row r="170" ht="36" customHeight="1">
      <c r="C170" s="13" t="inlineStr">
        <is>
          <t>3.四级阅读（45分钟）：新东方Unit18·Passage1-2限时(8min/篇)</t>
        </is>
      </c>
      <c r="D170" s="14" t="inlineStr">
        <is>
          <t>☐ 未完成</t>
        </is>
      </c>
    </row>
    <row r="171" ht="20" customHeight="1">
      <c r="C171" s="13" t="inlineStr">
        <is>
          <t>4.四级听力（30分钟）：新东方Day18·短文理解+讲座</t>
        </is>
      </c>
      <c r="D171" s="14" t="inlineStr">
        <is>
          <t>☐ 未完成</t>
        </is>
      </c>
    </row>
    <row r="172" ht="36" customHeight="1">
      <c r="C172" s="17" t="inlineStr">
        <is>
          <t>5.词汇（45分钟）：不背单词APP四级词本新35词+复习，闪过默写本20词（错词清零+标记）</t>
        </is>
      </c>
      <c r="D172" s="14" t="inlineStr">
        <is>
          <t>☐ 未完成</t>
        </is>
      </c>
    </row>
    <row r="173" ht="20" customHeight="1">
      <c r="C173" s="13" t="inlineStr">
        <is>
          <t>6.写作翻译（30分钟）：闪过真题·翻译练习(汉译英5句)</t>
        </is>
      </c>
      <c r="D173" s="14" t="inlineStr">
        <is>
          <t>☐ 未完成</t>
        </is>
      </c>
    </row>
    <row r="174" ht="20" customHeight="1">
      <c r="C174" s="18" t="inlineStr">
        <is>
          <t>7.机动（30分钟）：锐树网课笔记回顾+语法考点整理</t>
        </is>
      </c>
      <c r="D174" s="14" t="inlineStr">
        <is>
          <t>☐ 未完成</t>
        </is>
      </c>
    </row>
    <row r="176">
      <c r="A176" s="19" t="inlineStr">
        <is>
          <t>月度汇总</t>
        </is>
      </c>
    </row>
    <row r="177">
      <c r="A177" s="19" t="inlineStr">
        <is>
          <t>已完成</t>
        </is>
      </c>
      <c r="B177">
        <f>COUNTIF(D2:D174,"☑ 已完成")</f>
        <v/>
      </c>
    </row>
    <row r="178">
      <c r="A178" s="19" t="inlineStr">
        <is>
          <t>未完成</t>
        </is>
      </c>
      <c r="B178">
        <f>COUNTIF(D2:D174,"☐ 未完成")</f>
        <v/>
      </c>
    </row>
    <row r="179">
      <c r="A179" s="19" t="inlineStr">
        <is>
          <t>完成率</t>
        </is>
      </c>
      <c r="B179" s="20">
        <f>COUNTIF(D2:D174,"☑ 已完成")/(COUNTIF(D2:D174,"☑ 已完成")+COUNTIF(D2:D174,"☐ 未完成"))</f>
        <v/>
      </c>
    </row>
  </sheetData>
  <mergeCells count="150">
    <mergeCell ref="F84:F85"/>
    <mergeCell ref="B43:B44"/>
    <mergeCell ref="G127:G133"/>
    <mergeCell ref="F17:F23"/>
    <mergeCell ref="F153:F159"/>
    <mergeCell ref="F140:F146"/>
    <mergeCell ref="E86:E92"/>
    <mergeCell ref="B106:B111"/>
    <mergeCell ref="E30:E36"/>
    <mergeCell ref="E45:E51"/>
    <mergeCell ref="B93:B98"/>
    <mergeCell ref="G30:G36"/>
    <mergeCell ref="G45:G51"/>
    <mergeCell ref="A4:A10"/>
    <mergeCell ref="E78:E83"/>
    <mergeCell ref="B11:B16"/>
    <mergeCell ref="G78:G83"/>
    <mergeCell ref="B99:B105"/>
    <mergeCell ref="A2:A3"/>
    <mergeCell ref="A112:A118"/>
    <mergeCell ref="E2:E3"/>
    <mergeCell ref="A65:A70"/>
    <mergeCell ref="E71:E77"/>
    <mergeCell ref="G71:G77"/>
    <mergeCell ref="E112:E118"/>
    <mergeCell ref="A125:A126"/>
    <mergeCell ref="A147:A152"/>
    <mergeCell ref="G84:G85"/>
    <mergeCell ref="B140:B146"/>
    <mergeCell ref="A153:A159"/>
    <mergeCell ref="F30:F36"/>
    <mergeCell ref="B160:B165"/>
    <mergeCell ref="E106:E111"/>
    <mergeCell ref="G106:G111"/>
    <mergeCell ref="E153:E159"/>
    <mergeCell ref="A166:A167"/>
    <mergeCell ref="E93:E98"/>
    <mergeCell ref="A52:A57"/>
    <mergeCell ref="F147:F152"/>
    <mergeCell ref="A17:A23"/>
    <mergeCell ref="A119:A124"/>
    <mergeCell ref="B134:B139"/>
    <mergeCell ref="G11:G16"/>
    <mergeCell ref="E99:E105"/>
    <mergeCell ref="E160:E165"/>
    <mergeCell ref="B112:B118"/>
    <mergeCell ref="B168:B174"/>
    <mergeCell ref="A11:A16"/>
    <mergeCell ref="F2:F3"/>
    <mergeCell ref="F24:F29"/>
    <mergeCell ref="E52:E57"/>
    <mergeCell ref="G52:G57"/>
    <mergeCell ref="F65:F70"/>
    <mergeCell ref="A78:A83"/>
    <mergeCell ref="G4:G10"/>
    <mergeCell ref="E168:E174"/>
    <mergeCell ref="F125:F126"/>
    <mergeCell ref="G168:G174"/>
    <mergeCell ref="F58:F64"/>
    <mergeCell ref="A37:A42"/>
    <mergeCell ref="B84:B85"/>
    <mergeCell ref="B153:B159"/>
    <mergeCell ref="E127:E133"/>
    <mergeCell ref="G24:G29"/>
    <mergeCell ref="A134:A139"/>
    <mergeCell ref="A30:A36"/>
    <mergeCell ref="A45:A51"/>
    <mergeCell ref="G86:G92"/>
    <mergeCell ref="A43:A44"/>
    <mergeCell ref="F166:F167"/>
    <mergeCell ref="F127:F133"/>
    <mergeCell ref="F52:F57"/>
    <mergeCell ref="F99:F105"/>
    <mergeCell ref="E140:E146"/>
    <mergeCell ref="E134:E139"/>
    <mergeCell ref="F86:F92"/>
    <mergeCell ref="G134:G139"/>
    <mergeCell ref="A93:A98"/>
    <mergeCell ref="F45:F51"/>
    <mergeCell ref="A71:A77"/>
    <mergeCell ref="B86:B92"/>
    <mergeCell ref="A84:A85"/>
    <mergeCell ref="F78:F83"/>
    <mergeCell ref="A99:A105"/>
    <mergeCell ref="B2:B3"/>
    <mergeCell ref="G125:G126"/>
    <mergeCell ref="G58:G64"/>
    <mergeCell ref="E84:E85"/>
    <mergeCell ref="G166:G167"/>
    <mergeCell ref="F71:F77"/>
    <mergeCell ref="G93:G98"/>
    <mergeCell ref="G37:G42"/>
    <mergeCell ref="F106:F111"/>
    <mergeCell ref="A127:A133"/>
    <mergeCell ref="F43:F44"/>
    <mergeCell ref="B147:B152"/>
    <mergeCell ref="G99:G105"/>
    <mergeCell ref="F112:F118"/>
    <mergeCell ref="E11:E16"/>
    <mergeCell ref="A160:A165"/>
    <mergeCell ref="G140:G146"/>
    <mergeCell ref="B65:B70"/>
    <mergeCell ref="F93:F98"/>
    <mergeCell ref="A106:A111"/>
    <mergeCell ref="E4:E10"/>
    <mergeCell ref="B17:B23"/>
    <mergeCell ref="A168:A174"/>
    <mergeCell ref="G119:G124"/>
    <mergeCell ref="B125:B126"/>
    <mergeCell ref="B58:B64"/>
    <mergeCell ref="G2:G3"/>
    <mergeCell ref="E43:E44"/>
    <mergeCell ref="G43:G44"/>
    <mergeCell ref="F119:F124"/>
    <mergeCell ref="G112:G118"/>
    <mergeCell ref="F11:F16"/>
    <mergeCell ref="A24:A29"/>
    <mergeCell ref="E24:E29"/>
    <mergeCell ref="E147:E152"/>
    <mergeCell ref="B166:B167"/>
    <mergeCell ref="B127:B133"/>
    <mergeCell ref="B52:B57"/>
    <mergeCell ref="G160:G165"/>
    <mergeCell ref="A140:A146"/>
    <mergeCell ref="G147:G152"/>
    <mergeCell ref="B4:B10"/>
    <mergeCell ref="F160:F165"/>
    <mergeCell ref="B30:B36"/>
    <mergeCell ref="B45:B51"/>
    <mergeCell ref="B37:B42"/>
    <mergeCell ref="G153:G159"/>
    <mergeCell ref="A58:A64"/>
    <mergeCell ref="E65:E70"/>
    <mergeCell ref="E166:E167"/>
    <mergeCell ref="G65:G70"/>
    <mergeCell ref="F4:F10"/>
    <mergeCell ref="B78:B83"/>
    <mergeCell ref="E17:E23"/>
    <mergeCell ref="E119:E124"/>
    <mergeCell ref="G17:G23"/>
    <mergeCell ref="F134:F139"/>
    <mergeCell ref="B119:B124"/>
    <mergeCell ref="E125:E126"/>
    <mergeCell ref="F168:F174"/>
    <mergeCell ref="E58:E64"/>
    <mergeCell ref="B24:B29"/>
    <mergeCell ref="B71:B77"/>
    <mergeCell ref="F37:F42"/>
    <mergeCell ref="A86:A92"/>
    <mergeCell ref="E37:E42"/>
  </mergeCells>
  <dataValidations count="1">
    <dataValidation sqref="D2:D174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2026-12-01</t>
        </is>
      </c>
      <c r="B2" s="8" t="inlineStr">
        <is>
          <t>周二</t>
        </is>
      </c>
      <c r="C2" s="13" t="inlineStr">
        <is>
          <t>1.高等数学（30分钟）：复习第4章·不定积分 §4.4（约P178–184）→概念公式默写+库课18套2道计算题（库课第9套）</t>
        </is>
      </c>
      <c r="D2" s="14" t="inlineStr">
        <is>
          <t>☐ 未完成</t>
        </is>
      </c>
      <c r="E2" s="15">
        <f>COUNTIF(D2:D7,"☑ 已完成")/COUNTA(C2:C7)</f>
        <v/>
      </c>
      <c r="F2" s="14" t="n"/>
      <c r="G2" s="16" t="inlineStr"/>
    </row>
    <row r="3" ht="20" customHeight="1">
      <c r="C3" s="13" t="inlineStr">
        <is>
          <t>2.专升本英语（30分钟）：库课2000题阅读·第6-10题错题重做</t>
        </is>
      </c>
      <c r="D3" s="14" t="inlineStr">
        <is>
          <t>☐ 未完成</t>
        </is>
      </c>
    </row>
    <row r="4" ht="36" customHeight="1">
      <c r="C4" s="13" t="inlineStr">
        <is>
          <t>3.四级阅读（60分钟）：新东方Unit18·Passage1-3限时+生词复习</t>
        </is>
      </c>
      <c r="D4" s="14" t="inlineStr">
        <is>
          <t>☐ 未完成</t>
        </is>
      </c>
    </row>
    <row r="5" ht="20" customHeight="1">
      <c r="C5" s="13" t="inlineStr">
        <is>
          <t>4.四级听力（60分钟）：新东方Day18·完整训练+影子跟读</t>
        </is>
      </c>
      <c r="D5" s="14" t="inlineStr">
        <is>
          <t>☐ 未完成</t>
        </is>
      </c>
    </row>
    <row r="6" ht="36" customHeight="1">
      <c r="C6" s="17" t="inlineStr">
        <is>
          <t>5.词汇（45分钟）：不背单词APP四级词本新35词+复习，闪过默写本20词（默写本听写验证）</t>
        </is>
      </c>
      <c r="D6" s="14" t="inlineStr">
        <is>
          <t>☐ 未完成</t>
        </is>
      </c>
    </row>
    <row r="7" ht="20" customHeight="1">
      <c r="C7" s="13" t="inlineStr">
        <is>
          <t>6.写作翻译（15分钟）：闪过真题·写作模板回顾+限时写作1篇</t>
        </is>
      </c>
      <c r="D7" s="14" t="inlineStr">
        <is>
          <t>☐ 未完成</t>
        </is>
      </c>
    </row>
    <row r="8" ht="52" customHeight="1">
      <c r="A8" s="12" t="inlineStr">
        <is>
          <t>2026-12-02</t>
        </is>
      </c>
      <c r="B8" s="8" t="inlineStr">
        <is>
          <t>周三</t>
        </is>
      </c>
      <c r="C8" s="13" t="inlineStr">
        <is>
          <t>1.高等数学（30分钟）：同济第4章·不定积分 §4.3–4(全节综合)（约P184–190）·课后习题+综合练习+库课18套2题（库课第9套）</t>
        </is>
      </c>
      <c r="D8" s="14" t="inlineStr">
        <is>
          <t>☐ 未完成</t>
        </is>
      </c>
      <c r="E8" s="15">
        <f>COUNTIF(D8:D14,"☑ 已完成")/COUNTA(C8:C14)</f>
        <v/>
      </c>
      <c r="F8" s="14" t="n"/>
      <c r="G8" s="16" t="inlineStr"/>
    </row>
    <row r="9" ht="36" customHeight="1">
      <c r="C9" s="18" t="inlineStr">
        <is>
          <t>2.专升本英语（30分钟）：锐树网课《习题精析·连词成句》难点回看+综合练习→库课2000题阅读约15题</t>
        </is>
      </c>
      <c r="D9" s="14" t="inlineStr">
        <is>
          <t>☐ 未完成</t>
        </is>
      </c>
    </row>
    <row r="10" ht="20" customHeight="1">
      <c r="C10" s="13" t="inlineStr">
        <is>
          <t>3.四级阅读（45分钟）：Unit17-18·错题重做2篇</t>
        </is>
      </c>
      <c r="D10" s="14" t="inlineStr">
        <is>
          <t>☐ 未完成</t>
        </is>
      </c>
    </row>
    <row r="11" ht="20" customHeight="1">
      <c r="C11" s="13" t="inlineStr">
        <is>
          <t>4.四级听力（30分钟）：Day17-18·错题重听+影子跟读</t>
        </is>
      </c>
      <c r="D11" s="14" t="inlineStr">
        <is>
          <t>☐ 未完成</t>
        </is>
      </c>
    </row>
    <row r="12" ht="36" customHeight="1">
      <c r="C12" s="17" t="inlineStr">
        <is>
          <t>5.词汇（45分钟）：不背单词APP四级词本新35词+复习，闪过默写本20词（生词重点巩固）</t>
        </is>
      </c>
      <c r="D12" s="14" t="inlineStr">
        <is>
          <t>☐ 未完成</t>
        </is>
      </c>
    </row>
    <row r="13" ht="20" customHeight="1">
      <c r="C13" s="13" t="inlineStr">
        <is>
          <t>6.写作翻译（30分钟）：闪过真题·写作+翻译综合练习</t>
        </is>
      </c>
      <c r="D13" s="14" t="inlineStr">
        <is>
          <t>☐ 未完成</t>
        </is>
      </c>
    </row>
    <row r="14" ht="20" customHeight="1">
      <c r="C14" s="18" t="inlineStr">
        <is>
          <t>7.机动（30分钟）：进度自查+错题归因+改进计划</t>
        </is>
      </c>
      <c r="D14" s="14" t="inlineStr">
        <is>
          <t>☐ 未完成</t>
        </is>
      </c>
    </row>
    <row r="15" ht="52" customHeight="1">
      <c r="A15" s="12" t="inlineStr">
        <is>
          <t>2026-12-03</t>
        </is>
      </c>
      <c r="B15" s="8" t="inlineStr">
        <is>
          <t>周四</t>
        </is>
      </c>
      <c r="C15" s="13" t="inlineStr">
        <is>
          <t>1.高等数学（30分钟）：复习第4章·不定积分 §4.3–4(全节综合)（约P184–190）→综合复习+库课18套错题重做（库课第9套）</t>
        </is>
      </c>
      <c r="D15" s="14" t="inlineStr">
        <is>
          <t>☐ 未完成</t>
        </is>
      </c>
      <c r="E15" s="15">
        <f>COUNTIF(D15:D20,"☑ 已完成")/COUNTA(C15:C20)</f>
        <v/>
      </c>
      <c r="F15" s="14" t="n"/>
      <c r="G15" s="16" t="inlineStr"/>
    </row>
    <row r="16" ht="36" customHeight="1">
      <c r="C16" s="18" t="inlineStr">
        <is>
          <t>2.专升本英语（30分钟）：库课2000题阅读·第11-15题+本周错题总复习</t>
        </is>
      </c>
      <c r="D16" s="14" t="inlineStr">
        <is>
          <t>☐ 未完成</t>
        </is>
      </c>
    </row>
    <row r="17" ht="20" customHeight="1">
      <c r="C17" s="13" t="inlineStr">
        <is>
          <t>3.四级阅读（60分钟）：Unit17-18·限时4篇+错题分析</t>
        </is>
      </c>
      <c r="D17" s="14" t="inlineStr">
        <is>
          <t>☐ 未完成</t>
        </is>
      </c>
    </row>
    <row r="18" ht="20" customHeight="1">
      <c r="C18" s="13" t="inlineStr">
        <is>
          <t>4.四级听力（60分钟）：Day17-18·关键词默写+跟读</t>
        </is>
      </c>
      <c r="D18" s="14" t="inlineStr">
        <is>
          <t>☐ 未完成</t>
        </is>
      </c>
    </row>
    <row r="19" ht="36" customHeight="1">
      <c r="C19" s="18" t="inlineStr">
        <is>
          <t>5.词汇（45分钟）：不背单词APP四级词本新35词+复习，闪过默写本20词（本周词汇总复习）</t>
        </is>
      </c>
      <c r="D19" s="14" t="inlineStr">
        <is>
          <t>☐ 未完成</t>
        </is>
      </c>
    </row>
    <row r="20" ht="20" customHeight="1">
      <c r="C20" s="13" t="inlineStr">
        <is>
          <t>6.写作翻译（15分钟）：闪过真题·翻译练习(英译汉5句)</t>
        </is>
      </c>
      <c r="D20" s="14" t="inlineStr">
        <is>
          <t>☐ 未完成</t>
        </is>
      </c>
    </row>
    <row r="21" ht="36" customHeight="1">
      <c r="A21" s="12" t="inlineStr">
        <is>
          <t>2026-12-04</t>
        </is>
      </c>
      <c r="B21" s="8" t="inlineStr">
        <is>
          <t>周五</t>
        </is>
      </c>
      <c r="C21" s="13" t="inlineStr">
        <is>
          <t>1.高等数学（30分钟）：同济第4章综合复习+例题（约P190–192）·概念理解+例题精做+库课18套2题（库课第10套）</t>
        </is>
      </c>
      <c r="D21" s="14" t="inlineStr">
        <is>
          <t>☐ 未完成</t>
        </is>
      </c>
      <c r="E21" s="15">
        <f>COUNTIF(D21:D27,"☑ 已完成")/COUNTA(C21:C27)</f>
        <v/>
      </c>
      <c r="F21" s="14" t="n"/>
      <c r="G21" s="16" t="inlineStr"/>
    </row>
    <row r="22" ht="36" customHeight="1">
      <c r="C22" s="13" t="inlineStr">
        <is>
          <t>2.专升本英语（30分钟）：锐树网课《连词成句(三)(四)》精看+笔记标注→库课2000题阅读约15题</t>
        </is>
      </c>
      <c r="D22" s="14" t="inlineStr">
        <is>
          <t>☐ 未完成</t>
        </is>
      </c>
    </row>
    <row r="23" ht="36" customHeight="1">
      <c r="C23" s="13" t="inlineStr">
        <is>
          <t>3.四级阅读（45分钟）：新东方Unit19·Passage1-2限时(8min/篇)</t>
        </is>
      </c>
      <c r="D23" s="14" t="inlineStr">
        <is>
          <t>☐ 未完成</t>
        </is>
      </c>
    </row>
    <row r="24" ht="20" customHeight="1">
      <c r="C24" s="13" t="inlineStr">
        <is>
          <t>4.四级听力（30分钟）：新东方Day19·短新闻+长对话</t>
        </is>
      </c>
      <c r="D24" s="14" t="inlineStr">
        <is>
          <t>☐ 未完成</t>
        </is>
      </c>
    </row>
    <row r="25" ht="36" customHeight="1">
      <c r="C25" s="17" t="inlineStr">
        <is>
          <t>5.词汇（45分钟）：不背单词APP四级词本新35词+复习，闪过默写本20词（主动回忆法）</t>
        </is>
      </c>
      <c r="D25" s="14" t="inlineStr">
        <is>
          <t>☐ 未完成</t>
        </is>
      </c>
    </row>
    <row r="26" ht="20" customHeight="1">
      <c r="C26" s="13" t="inlineStr">
        <is>
          <t>6.写作翻译（30分钟）：闪过真题·写作模板背诵+仿写1篇</t>
        </is>
      </c>
      <c r="D26" s="14" t="inlineStr">
        <is>
          <t>☐ 未完成</t>
        </is>
      </c>
    </row>
    <row r="27" ht="20" customHeight="1">
      <c r="C27" s="18" t="inlineStr">
        <is>
          <t>7.机动（30分钟）：整理高数错因(概念/计算/审题分类)</t>
        </is>
      </c>
      <c r="D27" s="14" t="inlineStr">
        <is>
          <t>☐ 未完成</t>
        </is>
      </c>
    </row>
    <row r="28" ht="36" customHeight="1">
      <c r="A28" s="12" t="inlineStr">
        <is>
          <t>2026-12-05</t>
        </is>
      </c>
      <c r="B28" s="8" t="inlineStr">
        <is>
          <t>周六</t>
        </is>
      </c>
      <c r="C28" s="13" t="inlineStr">
        <is>
          <t>1.高等数学（30分钟）：复习第4章综合复习+例题（约P190–192）→复习对应A日内容+库课18套2道新大题（库课第10套）</t>
        </is>
      </c>
      <c r="D28" s="14" t="inlineStr">
        <is>
          <t>☐ 未完成</t>
        </is>
      </c>
      <c r="E28" s="15">
        <f>COUNTIF(D28:D33,"☑ 已完成")/COUNTA(C28:C33)</f>
        <v/>
      </c>
      <c r="F28" s="14" t="n"/>
      <c r="G28" s="16" t="inlineStr"/>
    </row>
    <row r="29" ht="36" customHeight="1">
      <c r="C29" s="13" t="inlineStr">
        <is>
          <t>2.专升本英语（30分钟）：库课2000题阅读·第1-5题巩固+错题标注</t>
        </is>
      </c>
      <c r="D29" s="14" t="inlineStr">
        <is>
          <t>☐ 未完成</t>
        </is>
      </c>
    </row>
    <row r="30" ht="36" customHeight="1">
      <c r="C30" s="13" t="inlineStr">
        <is>
          <t>3.四级阅读（60分钟）：新东方Unit19·Passage1-3限时+生词复习</t>
        </is>
      </c>
      <c r="D30" s="14" t="inlineStr">
        <is>
          <t>☐ 未完成</t>
        </is>
      </c>
    </row>
    <row r="31" ht="20" customHeight="1">
      <c r="C31" s="13" t="inlineStr">
        <is>
          <t>4.四级听力（60分钟）：新东方Day19·完整训练+影子跟读</t>
        </is>
      </c>
      <c r="D31" s="14" t="inlineStr">
        <is>
          <t>☐ 未完成</t>
        </is>
      </c>
    </row>
    <row r="32" ht="36" customHeight="1">
      <c r="C32" s="17" t="inlineStr">
        <is>
          <t>5.词汇（45分钟）：不背单词APP四级词本新35词+复习，闪过默写本20词（本周新词巩固）</t>
        </is>
      </c>
      <c r="D32" s="14" t="inlineStr">
        <is>
          <t>☐ 未完成</t>
        </is>
      </c>
    </row>
    <row r="33" ht="20" customHeight="1">
      <c r="C33" s="13" t="inlineStr">
        <is>
          <t>6.写作翻译（15分钟）：闪过真题·翻译练习(英译汉5句)</t>
        </is>
      </c>
      <c r="D33" s="14" t="inlineStr">
        <is>
          <t>☐ 未完成</t>
        </is>
      </c>
    </row>
    <row r="34" ht="20" customHeight="1">
      <c r="A34" s="12" t="inlineStr">
        <is>
          <t>2026-12-06</t>
        </is>
      </c>
      <c r="B34" s="8" t="inlineStr">
        <is>
          <t>周日</t>
        </is>
      </c>
      <c r="C34" s="13" t="inlineStr">
        <is>
          <t>1.四级模考：闪过真题第5套完整真题2小时按710分估分</t>
        </is>
      </c>
      <c r="D34" s="14" t="inlineStr">
        <is>
          <t>☐ 未完成</t>
        </is>
      </c>
      <c r="E34" s="15">
        <f>COUNTIF(D34:D35,"☑ 已完成")/COUNTA(C34:C35)</f>
        <v/>
      </c>
      <c r="F34" s="14" t="n"/>
      <c r="G34" s="16" t="inlineStr">
        <is>
          <t>模考日</t>
        </is>
      </c>
    </row>
    <row r="35" ht="20" customHeight="1">
      <c r="C35" s="18" t="inlineStr">
        <is>
          <t>2.错题归因+周复盘+下周计划</t>
        </is>
      </c>
      <c r="D35" s="14" t="inlineStr">
        <is>
          <t>☐ 未完成</t>
        </is>
      </c>
    </row>
    <row r="36" ht="36" customHeight="1">
      <c r="A36" s="12" t="inlineStr">
        <is>
          <t>2026-12-07</t>
        </is>
      </c>
      <c r="B36" s="8" t="inlineStr">
        <is>
          <t>周一</t>
        </is>
      </c>
      <c r="C36" s="13" t="inlineStr">
        <is>
          <t>1.高等数学（30分钟）：同济第4章综合复习+例题（约P192–194）·续讲精做+例题演练+库课18套2题（库课第10套）</t>
        </is>
      </c>
      <c r="D36" s="14" t="inlineStr">
        <is>
          <t>☐ 未完成</t>
        </is>
      </c>
      <c r="E36" s="15">
        <f>COUNTIF(D36:D42,"☑ 已完成")/COUNTA(C36:C42)</f>
        <v/>
      </c>
      <c r="F36" s="14" t="n"/>
      <c r="G36" s="16" t="inlineStr"/>
    </row>
    <row r="37" ht="36" customHeight="1">
      <c r="C37" s="13" t="inlineStr">
        <is>
          <t>2.专升本英语（30分钟）：锐树网课《篇章填空(一)》精看+笔记标注→库课2000题阅读约15题</t>
        </is>
      </c>
      <c r="D37" s="14" t="inlineStr">
        <is>
          <t>☐ 未完成</t>
        </is>
      </c>
    </row>
    <row r="38" ht="36" customHeight="1">
      <c r="C38" s="13" t="inlineStr">
        <is>
          <t>3.四级阅读（45分钟）：新东方Unit20·Passage1-2限时(8min/篇)</t>
        </is>
      </c>
      <c r="D38" s="14" t="inlineStr">
        <is>
          <t>☐ 未完成</t>
        </is>
      </c>
    </row>
    <row r="39" ht="20" customHeight="1">
      <c r="C39" s="13" t="inlineStr">
        <is>
          <t>4.四级听力（30分钟）：新东方Day20·短文理解+讲座</t>
        </is>
      </c>
      <c r="D39" s="14" t="inlineStr">
        <is>
          <t>☐ 未完成</t>
        </is>
      </c>
    </row>
    <row r="40" ht="36" customHeight="1">
      <c r="C40" s="17" t="inlineStr">
        <is>
          <t>5.词汇（45分钟）：不背单词APP四级词本新35词+复习，闪过默写本20词（错词清零+标记）</t>
        </is>
      </c>
      <c r="D40" s="14" t="inlineStr">
        <is>
          <t>☐ 未完成</t>
        </is>
      </c>
    </row>
    <row r="41" ht="20" customHeight="1">
      <c r="C41" s="13" t="inlineStr">
        <is>
          <t>6.写作翻译（30分钟）：闪过真题·翻译练习(汉译英5句)</t>
        </is>
      </c>
      <c r="D41" s="14" t="inlineStr">
        <is>
          <t>☐ 未完成</t>
        </is>
      </c>
    </row>
    <row r="42" ht="20" customHeight="1">
      <c r="C42" s="18" t="inlineStr">
        <is>
          <t>7.机动（30分钟）：锐树网课笔记回顾+语法考点整理</t>
        </is>
      </c>
      <c r="D42" s="14" t="inlineStr">
        <is>
          <t>☐ 未完成</t>
        </is>
      </c>
    </row>
    <row r="43" ht="36" customHeight="1">
      <c r="A43" s="12" t="inlineStr">
        <is>
          <t>2026-12-08</t>
        </is>
      </c>
      <c r="B43" s="8" t="inlineStr">
        <is>
          <t>周二</t>
        </is>
      </c>
      <c r="C43" s="13" t="inlineStr">
        <is>
          <t>1.高等数学（30分钟）：复习第4章综合复习+例题（约P192–194）→概念公式默写+库课18套2道计算题（库课第10套）</t>
        </is>
      </c>
      <c r="D43" s="14" t="inlineStr">
        <is>
          <t>☐ 未完成</t>
        </is>
      </c>
      <c r="E43" s="15">
        <f>COUNTIF(D43:D48,"☑ 已完成")/COUNTA(C43:C48)</f>
        <v/>
      </c>
      <c r="F43" s="14" t="n"/>
      <c r="G43" s="16" t="inlineStr"/>
    </row>
    <row r="44" ht="20" customHeight="1">
      <c r="C44" s="13" t="inlineStr">
        <is>
          <t>2.专升本英语（30分钟）：库课2000题阅读·第6-10题错题重做</t>
        </is>
      </c>
      <c r="D44" s="14" t="inlineStr">
        <is>
          <t>☐ 未完成</t>
        </is>
      </c>
    </row>
    <row r="45" ht="36" customHeight="1">
      <c r="C45" s="13" t="inlineStr">
        <is>
          <t>3.四级阅读（60分钟）：新东方Unit20·Passage1-3限时+生词复习</t>
        </is>
      </c>
      <c r="D45" s="14" t="inlineStr">
        <is>
          <t>☐ 未完成</t>
        </is>
      </c>
    </row>
    <row r="46" ht="20" customHeight="1">
      <c r="C46" s="13" t="inlineStr">
        <is>
          <t>4.四级听力（60分钟）：新东方Day20·完整训练+影子跟读</t>
        </is>
      </c>
      <c r="D46" s="14" t="inlineStr">
        <is>
          <t>☐ 未完成</t>
        </is>
      </c>
    </row>
    <row r="47" ht="36" customHeight="1">
      <c r="C47" s="17" t="inlineStr">
        <is>
          <t>5.词汇（45分钟）：不背单词APP四级词本新35词+复习，闪过默写本20词（默写本听写验证）</t>
        </is>
      </c>
      <c r="D47" s="14" t="inlineStr">
        <is>
          <t>☐ 未完成</t>
        </is>
      </c>
    </row>
    <row r="48" ht="20" customHeight="1">
      <c r="C48" s="13" t="inlineStr">
        <is>
          <t>6.写作翻译（15分钟）：闪过真题·写作模板回顾+限时写作1篇</t>
        </is>
      </c>
      <c r="D48" s="14" t="inlineStr">
        <is>
          <t>☐ 未完成</t>
        </is>
      </c>
    </row>
    <row r="49" ht="36" customHeight="1">
      <c r="A49" s="12" t="inlineStr">
        <is>
          <t>2026-12-09</t>
        </is>
      </c>
      <c r="B49" s="8" t="inlineStr">
        <is>
          <t>周三</t>
        </is>
      </c>
      <c r="C49" s="13" t="inlineStr">
        <is>
          <t>1.高等数学（30分钟）：同济第4章综合复习+例题（约P194–196）·课后习题+综合练习+库课18套2题（库课第10套）</t>
        </is>
      </c>
      <c r="D49" s="14" t="inlineStr">
        <is>
          <t>☐ 未完成</t>
        </is>
      </c>
      <c r="E49" s="15">
        <f>COUNTIF(D49:D55,"☑ 已完成")/COUNTA(C49:C55)</f>
        <v/>
      </c>
      <c r="F49" s="14" t="n"/>
      <c r="G49" s="16" t="inlineStr"/>
    </row>
    <row r="50" ht="36" customHeight="1">
      <c r="C50" s="18" t="inlineStr">
        <is>
          <t>2.专升本英语（30分钟）：锐树网课《习题精析·篇章填空》难点回看+综合练习→库课2000题阅读约15题</t>
        </is>
      </c>
      <c r="D50" s="14" t="inlineStr">
        <is>
          <t>☐ 未完成</t>
        </is>
      </c>
    </row>
    <row r="51" ht="20" customHeight="1">
      <c r="C51" s="13" t="inlineStr">
        <is>
          <t>3.四级阅读（45分钟）：Unit19-20·错题重做2篇</t>
        </is>
      </c>
      <c r="D51" s="14" t="inlineStr">
        <is>
          <t>☐ 未完成</t>
        </is>
      </c>
    </row>
    <row r="52" ht="20" customHeight="1">
      <c r="C52" s="13" t="inlineStr">
        <is>
          <t>4.四级听力（30分钟）：Day19-20·错题重听+影子跟读</t>
        </is>
      </c>
      <c r="D52" s="14" t="inlineStr">
        <is>
          <t>☐ 未完成</t>
        </is>
      </c>
    </row>
    <row r="53" ht="36" customHeight="1">
      <c r="C53" s="17" t="inlineStr">
        <is>
          <t>5.词汇（45分钟）：不背单词APP四级词本新35词+复习，闪过默写本20词（生词重点巩固）</t>
        </is>
      </c>
      <c r="D53" s="14" t="inlineStr">
        <is>
          <t>☐ 未完成</t>
        </is>
      </c>
    </row>
    <row r="54" ht="20" customHeight="1">
      <c r="C54" s="13" t="inlineStr">
        <is>
          <t>6.写作翻译（30分钟）：闪过真题·写作+翻译综合练习</t>
        </is>
      </c>
      <c r="D54" s="14" t="inlineStr">
        <is>
          <t>☐ 未完成</t>
        </is>
      </c>
    </row>
    <row r="55" ht="20" customHeight="1">
      <c r="C55" s="18" t="inlineStr">
        <is>
          <t>7.机动（30分钟）：进度自查+错题归因+改进计划</t>
        </is>
      </c>
      <c r="D55" s="14" t="inlineStr">
        <is>
          <t>☐ 未完成</t>
        </is>
      </c>
    </row>
    <row r="56" ht="36" customHeight="1">
      <c r="A56" s="12" t="inlineStr">
        <is>
          <t>2026-12-10</t>
        </is>
      </c>
      <c r="B56" s="8" t="inlineStr">
        <is>
          <t>周四</t>
        </is>
      </c>
      <c r="C56" s="13" t="inlineStr">
        <is>
          <t>1.高等数学（30分钟）：复习第4章综合复习+例题（约P194–196）→综合复习+库课18套错题重做（库课第10套）</t>
        </is>
      </c>
      <c r="D56" s="14" t="inlineStr">
        <is>
          <t>☐ 未完成</t>
        </is>
      </c>
      <c r="E56" s="15">
        <f>COUNTIF(D56:D61,"☑ 已完成")/COUNTA(C56:C61)</f>
        <v/>
      </c>
      <c r="F56" s="14" t="n"/>
      <c r="G56" s="16" t="inlineStr">
        <is>
          <t>里程碑·数学前5章完成/锐树网课语法看完</t>
        </is>
      </c>
    </row>
    <row r="57" ht="36" customHeight="1">
      <c r="C57" s="18" t="inlineStr">
        <is>
          <t>2.专升本英语（30分钟）：库课2000题阅读·第11-15题+本周错题总复习</t>
        </is>
      </c>
      <c r="D57" s="14" t="inlineStr">
        <is>
          <t>☐ 未完成</t>
        </is>
      </c>
    </row>
    <row r="58" ht="20" customHeight="1">
      <c r="C58" s="13" t="inlineStr">
        <is>
          <t>3.四级阅读（60分钟）：Unit19-20·限时4篇+错题分析</t>
        </is>
      </c>
      <c r="D58" s="14" t="inlineStr">
        <is>
          <t>☐ 未完成</t>
        </is>
      </c>
    </row>
    <row r="59" ht="20" customHeight="1">
      <c r="C59" s="13" t="inlineStr">
        <is>
          <t>4.四级听力（60分钟）：Day19-20·关键词默写+跟读</t>
        </is>
      </c>
      <c r="D59" s="14" t="inlineStr">
        <is>
          <t>☐ 未完成</t>
        </is>
      </c>
    </row>
    <row r="60" ht="36" customHeight="1">
      <c r="C60" s="18" t="inlineStr">
        <is>
          <t>5.词汇（45分钟）：不背单词APP四级词本新35词+复习，闪过默写本20词（本周词汇总复习）</t>
        </is>
      </c>
      <c r="D60" s="14" t="inlineStr">
        <is>
          <t>☐ 未完成</t>
        </is>
      </c>
    </row>
    <row r="61" ht="20" customHeight="1">
      <c r="C61" s="13" t="inlineStr">
        <is>
          <t>6.写作翻译（15分钟）：闪过真题·翻译练习(英译汉5句)</t>
        </is>
      </c>
      <c r="D61" s="14" t="inlineStr">
        <is>
          <t>☐ 未完成</t>
        </is>
      </c>
    </row>
    <row r="62" ht="36" customHeight="1">
      <c r="A62" s="12" t="inlineStr">
        <is>
          <t>2026-12-11</t>
        </is>
      </c>
      <c r="B62" s="8" t="inlineStr">
        <is>
          <t>周五</t>
        </is>
      </c>
      <c r="C62" s="13" t="inlineStr">
        <is>
          <t>1.高等数学（30分钟）：同济第5章·定积分 §5.1（约P198–205）·概念理解+例题精做+库课18套2题（库课第11套）</t>
        </is>
      </c>
      <c r="D62" s="14" t="inlineStr">
        <is>
          <t>☐ 未完成</t>
        </is>
      </c>
      <c r="E62" s="15">
        <f>COUNTIF(D62:D68,"☑ 已完成")/COUNTA(C62:C68)</f>
        <v/>
      </c>
      <c r="F62" s="14" t="n"/>
      <c r="G62" s="16" t="inlineStr"/>
    </row>
    <row r="63" ht="36" customHeight="1">
      <c r="C63" s="13" t="inlineStr">
        <is>
          <t>2.专升本英语（30分钟）：锐树网课《篇章填空(二)(三)(四)》精看(约20–25min)+笔记标注→库课2000题阅读约15题</t>
        </is>
      </c>
      <c r="D63" s="14" t="inlineStr">
        <is>
          <t>☐ 未完成</t>
        </is>
      </c>
    </row>
    <row r="64" ht="36" customHeight="1">
      <c r="C64" s="13" t="inlineStr">
        <is>
          <t>3.四级阅读（45分钟）：新东方Unit21·Passage1-2限时(8min/篇)</t>
        </is>
      </c>
      <c r="D64" s="14" t="inlineStr">
        <is>
          <t>☐ 未完成</t>
        </is>
      </c>
    </row>
    <row r="65" ht="20" customHeight="1">
      <c r="C65" s="13" t="inlineStr">
        <is>
          <t>4.四级听力（30分钟）：新东方Day21·短新闻+长对话</t>
        </is>
      </c>
      <c r="D65" s="14" t="inlineStr">
        <is>
          <t>☐ 未完成</t>
        </is>
      </c>
    </row>
    <row r="66" ht="36" customHeight="1">
      <c r="C66" s="17" t="inlineStr">
        <is>
          <t>5.词汇（45分钟）：不背单词APP四级词本新35词+复习，闪过默写本20词（主动回忆法）</t>
        </is>
      </c>
      <c r="D66" s="14" t="inlineStr">
        <is>
          <t>☐ 未完成</t>
        </is>
      </c>
    </row>
    <row r="67" ht="20" customHeight="1">
      <c r="C67" s="13" t="inlineStr">
        <is>
          <t>6.写作翻译（30分钟）：闪过真题·写作模板背诵+仿写1篇</t>
        </is>
      </c>
      <c r="D67" s="14" t="inlineStr">
        <is>
          <t>☐ 未完成</t>
        </is>
      </c>
    </row>
    <row r="68" ht="20" customHeight="1">
      <c r="C68" s="18" t="inlineStr">
        <is>
          <t>7.机动（30分钟）：整理高数错因(概念/计算/审题分类)</t>
        </is>
      </c>
      <c r="D68" s="14" t="inlineStr">
        <is>
          <t>☐ 未完成</t>
        </is>
      </c>
    </row>
    <row r="69" ht="20" customHeight="1">
      <c r="A69" s="12" t="inlineStr">
        <is>
          <t>2026-12-12</t>
        </is>
      </c>
      <c r="B69" s="8" t="inlineStr">
        <is>
          <t>周六</t>
        </is>
      </c>
      <c r="C69" s="13" t="inlineStr">
        <is>
          <t>CET4 考试日（笔试 2026-12-12，以准考证为准）</t>
        </is>
      </c>
      <c r="D69" s="14" t="inlineStr">
        <is>
          <t>☐ 未完成</t>
        </is>
      </c>
      <c r="E69" s="15">
        <f>COUNTIF(D69:D69,"☑ 已完成")/COUNTA(C69:C69)</f>
        <v/>
      </c>
      <c r="F69" s="14" t="n"/>
      <c r="G69" s="16" t="inlineStr">
        <is>
          <t>CET4考试日</t>
        </is>
      </c>
    </row>
    <row r="70" ht="20" customHeight="1">
      <c r="A70" s="12" t="inlineStr">
        <is>
          <t>2026-12-13</t>
        </is>
      </c>
      <c r="B70" s="8" t="inlineStr">
        <is>
          <t>周日</t>
        </is>
      </c>
      <c r="C70" s="13" t="inlineStr">
        <is>
          <t>1.专升本数学模考：库课18套完整卷第3套2小时估分</t>
        </is>
      </c>
      <c r="D70" s="14" t="inlineStr">
        <is>
          <t>☐ 未完成</t>
        </is>
      </c>
      <c r="E70" s="15">
        <f>COUNTIF(D70:D71,"☑ 已完成")/COUNTA(C70:C71)</f>
        <v/>
      </c>
      <c r="F70" s="14" t="n"/>
      <c r="G70" s="16" t="inlineStr">
        <is>
          <t>模考日</t>
        </is>
      </c>
    </row>
    <row r="71" ht="20" customHeight="1">
      <c r="C71" s="18" t="inlineStr">
        <is>
          <t>2.错题归因+周复盘</t>
        </is>
      </c>
      <c r="D71" s="14" t="inlineStr">
        <is>
          <t>☐ 未完成</t>
        </is>
      </c>
    </row>
    <row r="72" ht="36" customHeight="1">
      <c r="A72" s="12" t="inlineStr">
        <is>
          <t>2026-12-14</t>
        </is>
      </c>
      <c r="B72" s="8" t="inlineStr">
        <is>
          <t>周一</t>
        </is>
      </c>
      <c r="C72" s="13" t="inlineStr">
        <is>
          <t>1.高等数学（90分钟）：同济第5章·定积分 §5.2（约P205–212）·续讲精做+例题演练+库课18套2题（库课第11套）</t>
        </is>
      </c>
      <c r="D72" s="14" t="inlineStr">
        <is>
          <t>☐ 未完成</t>
        </is>
      </c>
      <c r="E72" s="15">
        <f>COUNTIF(D72:D75,"☑ 已完成")/COUNTA(C72:C75)</f>
        <v/>
      </c>
      <c r="F72" s="14" t="n"/>
      <c r="G72" s="16" t="inlineStr"/>
    </row>
    <row r="73" ht="36" customHeight="1">
      <c r="C73" s="18" t="inlineStr">
        <is>
          <t>2.专升本英语（75分钟）：锐树网课《篇章填空(二)(三)(四)》难点回看+重点标注→库课2000题阅读约25题</t>
        </is>
      </c>
      <c r="D73" s="14" t="inlineStr">
        <is>
          <t>☐ 未完成</t>
        </is>
      </c>
    </row>
    <row r="74" ht="20" customHeight="1">
      <c r="C74" s="13" t="inlineStr">
        <is>
          <t>3.专升本英语翻译专项(库课翻译练习)（45分钟）</t>
        </is>
      </c>
      <c r="D74" s="14" t="inlineStr">
        <is>
          <t>☐ 未完成</t>
        </is>
      </c>
    </row>
    <row r="75" ht="36" customHeight="1">
      <c r="C75" s="17" t="inlineStr">
        <is>
          <t>4.词汇（30分钟）：不背单词APP转专升本词本+高频词（错词巩固）</t>
        </is>
      </c>
      <c r="D75" s="14" t="inlineStr">
        <is>
          <t>☐ 未完成</t>
        </is>
      </c>
    </row>
    <row r="76" ht="36" customHeight="1">
      <c r="A76" s="12" t="inlineStr">
        <is>
          <t>2026-12-15</t>
        </is>
      </c>
      <c r="B76" s="8" t="inlineStr">
        <is>
          <t>周二</t>
        </is>
      </c>
      <c r="C76" s="13" t="inlineStr">
        <is>
          <t>1.高等数学（75分钟）：复习第5章·定积分 §5.1（约P198–205）→复习对应A日内容+库课18套2道新大题（库课第11套）</t>
        </is>
      </c>
      <c r="D76" s="14" t="inlineStr">
        <is>
          <t>☐ 未完成</t>
        </is>
      </c>
      <c r="E76" s="15">
        <f>COUNTIF(D76:D79,"☑ 已完成")/COUNTA(C76:C79)</f>
        <v/>
      </c>
      <c r="F76" s="14" t="n"/>
      <c r="G76" s="16" t="inlineStr"/>
    </row>
    <row r="77" ht="36" customHeight="1">
      <c r="C77" s="18" t="inlineStr">
        <is>
          <t>2.专升本英语（90分钟）：锐树网课回看+库课2000题阅读·第1-5题巩固+错题标注</t>
        </is>
      </c>
      <c r="D77" s="14" t="inlineStr">
        <is>
          <t>☐ 未完成</t>
        </is>
      </c>
    </row>
    <row r="78" ht="20" customHeight="1">
      <c r="C78" s="13" t="inlineStr">
        <is>
          <t>3.专升本英语完形填空专项(库课完形)（45分钟）</t>
        </is>
      </c>
      <c r="D78" s="14" t="inlineStr">
        <is>
          <t>☐ 未完成</t>
        </is>
      </c>
    </row>
    <row r="79" ht="36" customHeight="1">
      <c r="C79" s="17" t="inlineStr">
        <is>
          <t>4.词汇（30分钟）：不背单词APP转专升本词本+高频词（新词巩固）</t>
        </is>
      </c>
      <c r="D79" s="14" t="inlineStr">
        <is>
          <t>☐ 未完成</t>
        </is>
      </c>
    </row>
    <row r="80" ht="52" customHeight="1">
      <c r="A80" s="12" t="inlineStr">
        <is>
          <t>2026-12-16</t>
        </is>
      </c>
      <c r="B80" s="8" t="inlineStr">
        <is>
          <t>周三</t>
        </is>
      </c>
      <c r="C80" s="13" t="inlineStr">
        <is>
          <t>1.高等数学（90分钟）：同济第5章·定积分 §5.1–2(全节综合)（约P212–220）·课后习题+综合练习+库课18套2题（库课第11套）</t>
        </is>
      </c>
      <c r="D80" s="14" t="inlineStr">
        <is>
          <t>☐ 未完成</t>
        </is>
      </c>
      <c r="E80" s="15">
        <f>COUNTIF(D80:D83,"☑ 已完成")/COUNTA(C80:C83)</f>
        <v/>
      </c>
      <c r="F80" s="14" t="n"/>
      <c r="G80" s="16" t="inlineStr"/>
    </row>
    <row r="81" ht="36" customHeight="1">
      <c r="C81" s="18" t="inlineStr">
        <is>
          <t>2.专升本英语（75分钟）：锐树网课《篇章填空(二)(三)(四)》综合练习+笔记整理→库课2000题阅读约25题</t>
        </is>
      </c>
      <c r="D81" s="14" t="inlineStr">
        <is>
          <t>☐ 未完成</t>
        </is>
      </c>
    </row>
    <row r="82" ht="20" customHeight="1">
      <c r="C82" s="13" t="inlineStr">
        <is>
          <t>3.专升本英语阅读+翻译综合练习（45分钟）</t>
        </is>
      </c>
      <c r="D82" s="14" t="inlineStr">
        <is>
          <t>☐ 未完成</t>
        </is>
      </c>
    </row>
    <row r="83" ht="36" customHeight="1">
      <c r="C83" s="17" t="inlineStr">
        <is>
          <t>4.词汇（30分钟）：不背单词APP转专升本词本+高频词（生词强化）</t>
        </is>
      </c>
      <c r="D83" s="14" t="inlineStr">
        <is>
          <t>☐ 未完成</t>
        </is>
      </c>
    </row>
    <row r="84" ht="36" customHeight="1">
      <c r="A84" s="12" t="inlineStr">
        <is>
          <t>2026-12-17</t>
        </is>
      </c>
      <c r="B84" s="8" t="inlineStr">
        <is>
          <t>周四</t>
        </is>
      </c>
      <c r="C84" s="13" t="inlineStr">
        <is>
          <t>1.高等数学（75分钟）：复习第5章·定积分 §5.2（约P205–212）→概念公式默写+库课18套2道计算题（库课第11套）</t>
        </is>
      </c>
      <c r="D84" s="14" t="inlineStr">
        <is>
          <t>☐ 未完成</t>
        </is>
      </c>
      <c r="E84" s="15">
        <f>COUNTIF(D84:D87,"☑ 已完成")/COUNTA(C84:C87)</f>
        <v/>
      </c>
      <c r="F84" s="14" t="n"/>
      <c r="G84" s="16" t="inlineStr"/>
    </row>
    <row r="85" ht="36" customHeight="1">
      <c r="C85" s="18" t="inlineStr">
        <is>
          <t>2.专升本英语（90分钟）：锐树网课回看+库课2000题阅读·第6-10题错题重做</t>
        </is>
      </c>
      <c r="D85" s="14" t="inlineStr">
        <is>
          <t>☐ 未完成</t>
        </is>
      </c>
    </row>
    <row r="86" ht="20" customHeight="1">
      <c r="C86" s="13" t="inlineStr">
        <is>
          <t>3.专升本英语写作专项(库课写作)（45分钟）</t>
        </is>
      </c>
      <c r="D86" s="14" t="inlineStr">
        <is>
          <t>☐ 未完成</t>
        </is>
      </c>
    </row>
    <row r="87" ht="36" customHeight="1">
      <c r="C87" s="17" t="inlineStr">
        <is>
          <t>4.词汇（30分钟）：不背单词APP转专升本词本+高频词（听写验证）</t>
        </is>
      </c>
      <c r="D87" s="14" t="inlineStr">
        <is>
          <t>☐ 未完成</t>
        </is>
      </c>
    </row>
    <row r="88" ht="36" customHeight="1">
      <c r="A88" s="12" t="inlineStr">
        <is>
          <t>2026-12-18</t>
        </is>
      </c>
      <c r="B88" s="8" t="inlineStr">
        <is>
          <t>周五</t>
        </is>
      </c>
      <c r="C88" s="13" t="inlineStr">
        <is>
          <t>1.高等数学（90分钟）：同济第5章·定积分 §5.3（约P220–226）·概念理解+例题精做+库课18套2题（库课第12套）</t>
        </is>
      </c>
      <c r="D88" s="14" t="inlineStr">
        <is>
          <t>☐ 未完成</t>
        </is>
      </c>
      <c r="E88" s="15">
        <f>COUNTIF(D88:D91,"☑ 已完成")/COUNTA(C88:C91)</f>
        <v/>
      </c>
      <c r="F88" s="14" t="n"/>
      <c r="G88" s="16" t="inlineStr"/>
    </row>
    <row r="89" ht="36" customHeight="1">
      <c r="C89" s="13" t="inlineStr">
        <is>
          <t>2.专升本英语（75分钟）：锐树网课《篇章填空(五)(六)(七)》精看(约20–25min)+笔记标注→库课2000题阅读约25题</t>
        </is>
      </c>
      <c r="D89" s="14" t="inlineStr">
        <is>
          <t>☐ 未完成</t>
        </is>
      </c>
    </row>
    <row r="90" ht="20" customHeight="1">
      <c r="C90" s="13" t="inlineStr">
        <is>
          <t>3.专升本英语阅读专项(库课阅读理解)（45分钟）</t>
        </is>
      </c>
      <c r="D90" s="14" t="inlineStr">
        <is>
          <t>☐ 未完成</t>
        </is>
      </c>
    </row>
    <row r="91" ht="36" customHeight="1">
      <c r="C91" s="17" t="inlineStr">
        <is>
          <t>4.词汇（30分钟）：不背单词APP转专升本词本+高频词（主动回忆）</t>
        </is>
      </c>
      <c r="D91" s="14" t="inlineStr">
        <is>
          <t>☐ 未完成</t>
        </is>
      </c>
    </row>
    <row r="92" ht="36" customHeight="1">
      <c r="A92" s="12" t="inlineStr">
        <is>
          <t>2026-12-19</t>
        </is>
      </c>
      <c r="B92" s="8" t="inlineStr">
        <is>
          <t>周六</t>
        </is>
      </c>
      <c r="C92" s="13" t="inlineStr">
        <is>
          <t>1.高等数学（75分钟）：复习第5章·定积分 §5.3（约P220–226）→复习对应A日内容+库课18套2道新大题（库课第12套）</t>
        </is>
      </c>
      <c r="D92" s="14" t="inlineStr">
        <is>
          <t>☐ 未完成</t>
        </is>
      </c>
      <c r="E92" s="15">
        <f>COUNTIF(D92:D95,"☑ 已完成")/COUNTA(C92:C95)</f>
        <v/>
      </c>
      <c r="F92" s="14" t="n"/>
      <c r="G92" s="16" t="inlineStr"/>
    </row>
    <row r="93" ht="36" customHeight="1">
      <c r="C93" s="18" t="inlineStr">
        <is>
          <t>2.专升本英语（90分钟）：锐树网课回看+库课2000题阅读·第1-5题巩固+错题标注</t>
        </is>
      </c>
      <c r="D93" s="14" t="inlineStr">
        <is>
          <t>☐ 未完成</t>
        </is>
      </c>
    </row>
    <row r="94" ht="20" customHeight="1">
      <c r="C94" s="13" t="inlineStr">
        <is>
          <t>3.专升本英语完形填空专项(库课完形)（45分钟）</t>
        </is>
      </c>
      <c r="D94" s="14" t="inlineStr">
        <is>
          <t>☐ 未完成</t>
        </is>
      </c>
    </row>
    <row r="95" ht="36" customHeight="1">
      <c r="C95" s="17" t="inlineStr">
        <is>
          <t>4.词汇（30分钟）：不背单词APP转专升本词本+高频词（新词巩固）</t>
        </is>
      </c>
      <c r="D95" s="14" t="inlineStr">
        <is>
          <t>☐ 未完成</t>
        </is>
      </c>
    </row>
    <row r="96" ht="20" customHeight="1">
      <c r="A96" s="12" t="inlineStr">
        <is>
          <t>2026-12-20</t>
        </is>
      </c>
      <c r="B96" s="8" t="inlineStr">
        <is>
          <t>周日</t>
        </is>
      </c>
      <c r="C96" s="13" t="inlineStr">
        <is>
          <t>1.专升本英语模考：真题综合（约2小时）</t>
        </is>
      </c>
      <c r="D96" s="14" t="inlineStr">
        <is>
          <t>☐ 未完成</t>
        </is>
      </c>
      <c r="E96" s="15">
        <f>COUNTIF(D96:D97,"☑ 已完成")/COUNTA(C96:C97)</f>
        <v/>
      </c>
      <c r="F96" s="14" t="n"/>
      <c r="G96" s="16" t="inlineStr">
        <is>
          <t>模考日</t>
        </is>
      </c>
    </row>
    <row r="97" ht="20" customHeight="1">
      <c r="C97" s="18" t="inlineStr">
        <is>
          <t>2.错题归因+周复盘</t>
        </is>
      </c>
      <c r="D97" s="14" t="inlineStr">
        <is>
          <t>☐ 未完成</t>
        </is>
      </c>
    </row>
    <row r="98" ht="52" customHeight="1">
      <c r="A98" s="12" t="inlineStr">
        <is>
          <t>2026-12-21</t>
        </is>
      </c>
      <c r="B98" s="8" t="inlineStr">
        <is>
          <t>周一</t>
        </is>
      </c>
      <c r="C98" s="13" t="inlineStr">
        <is>
          <t>1.高等数学（90分钟）：同济第5章·定积分 §5.3(全节综合)（约P226–232）·续讲精做+例题演练+库课18套2题（库课第12套）</t>
        </is>
      </c>
      <c r="D98" s="14" t="inlineStr">
        <is>
          <t>☐ 未完成</t>
        </is>
      </c>
      <c r="E98" s="15">
        <f>COUNTIF(D98:D101,"☑ 已完成")/COUNTA(C98:C101)</f>
        <v/>
      </c>
      <c r="F98" s="14" t="n"/>
      <c r="G98" s="16" t="inlineStr"/>
    </row>
    <row r="99" ht="36" customHeight="1">
      <c r="C99" s="18" t="inlineStr">
        <is>
          <t>2.专升本英语（75分钟）：锐树网课《篇章填空(五)(六)(七)》难点回看+重点标注→库课2000题阅读约25题</t>
        </is>
      </c>
      <c r="D99" s="14" t="inlineStr">
        <is>
          <t>☐ 未完成</t>
        </is>
      </c>
    </row>
    <row r="100" ht="20" customHeight="1">
      <c r="C100" s="13" t="inlineStr">
        <is>
          <t>3.专升本英语翻译专项(库课翻译练习)（45分钟）</t>
        </is>
      </c>
      <c r="D100" s="14" t="inlineStr">
        <is>
          <t>☐ 未完成</t>
        </is>
      </c>
    </row>
    <row r="101" ht="36" customHeight="1">
      <c r="C101" s="17" t="inlineStr">
        <is>
          <t>4.词汇（30分钟）：不背单词APP转专升本词本+高频词（错词巩固）</t>
        </is>
      </c>
      <c r="D101" s="14" t="inlineStr">
        <is>
          <t>☐ 未完成</t>
        </is>
      </c>
    </row>
    <row r="102" ht="52" customHeight="1">
      <c r="A102" s="12" t="inlineStr">
        <is>
          <t>2026-12-22</t>
        </is>
      </c>
      <c r="B102" s="8" t="inlineStr">
        <is>
          <t>周二</t>
        </is>
      </c>
      <c r="C102" s="13" t="inlineStr">
        <is>
          <t>1.高等数学（75分钟）：复习第5章·定积分 §5.3(全节综合)（约P226–232）→概念公式默写+库课18套2道计算题（库课第12套）</t>
        </is>
      </c>
      <c r="D102" s="14" t="inlineStr">
        <is>
          <t>☐ 未完成</t>
        </is>
      </c>
      <c r="E102" s="15">
        <f>COUNTIF(D102:D105,"☑ 已完成")/COUNTA(C102:C105)</f>
        <v/>
      </c>
      <c r="F102" s="14" t="n"/>
      <c r="G102" s="16" t="inlineStr"/>
    </row>
    <row r="103" ht="36" customHeight="1">
      <c r="C103" s="18" t="inlineStr">
        <is>
          <t>2.专升本英语（90分钟）：锐树网课回看+库课2000题阅读·第6-10题错题重做</t>
        </is>
      </c>
      <c r="D103" s="14" t="inlineStr">
        <is>
          <t>☐ 未完成</t>
        </is>
      </c>
    </row>
    <row r="104" ht="20" customHeight="1">
      <c r="C104" s="13" t="inlineStr">
        <is>
          <t>3.专升本英语写作专项(库课写作)（45分钟）</t>
        </is>
      </c>
      <c r="D104" s="14" t="inlineStr">
        <is>
          <t>☐ 未完成</t>
        </is>
      </c>
    </row>
    <row r="105" ht="36" customHeight="1">
      <c r="C105" s="17" t="inlineStr">
        <is>
          <t>4.词汇（30分钟）：不背单词APP转专升本词本+高频词（听写验证）</t>
        </is>
      </c>
      <c r="D105" s="14" t="inlineStr">
        <is>
          <t>☐ 未完成</t>
        </is>
      </c>
    </row>
    <row r="106" ht="52" customHeight="1">
      <c r="A106" s="12" t="inlineStr">
        <is>
          <t>2026-12-23</t>
        </is>
      </c>
      <c r="B106" s="8" t="inlineStr">
        <is>
          <t>周三</t>
        </is>
      </c>
      <c r="C106" s="13" t="inlineStr">
        <is>
          <t>1.高等数学（90分钟）：同济第5章·定积分 §5.3(全节综合)（约P232–238）·课后习题+综合练习+库课18套2题（库课第12套）</t>
        </is>
      </c>
      <c r="D106" s="14" t="inlineStr">
        <is>
          <t>☐ 未完成</t>
        </is>
      </c>
      <c r="E106" s="15">
        <f>COUNTIF(D106:D109,"☑ 已完成")/COUNTA(C106:C109)</f>
        <v/>
      </c>
      <c r="F106" s="14" t="n"/>
      <c r="G106" s="16" t="inlineStr"/>
    </row>
    <row r="107" ht="36" customHeight="1">
      <c r="C107" s="18" t="inlineStr">
        <is>
          <t>2.专升本英语（75分钟）：锐树网课《篇章填空(五)(六)(七)》综合练习+笔记整理→库课2000题阅读约25题</t>
        </is>
      </c>
      <c r="D107" s="14" t="inlineStr">
        <is>
          <t>☐ 未完成</t>
        </is>
      </c>
    </row>
    <row r="108" ht="20" customHeight="1">
      <c r="C108" s="13" t="inlineStr">
        <is>
          <t>3.专升本英语阅读+翻译综合练习（45分钟）</t>
        </is>
      </c>
      <c r="D108" s="14" t="inlineStr">
        <is>
          <t>☐ 未完成</t>
        </is>
      </c>
    </row>
    <row r="109" ht="36" customHeight="1">
      <c r="C109" s="17" t="inlineStr">
        <is>
          <t>4.词汇（30分钟）：不背单词APP转专升本词本+高频词（生词强化）</t>
        </is>
      </c>
      <c r="D109" s="14" t="inlineStr">
        <is>
          <t>☐ 未完成</t>
        </is>
      </c>
    </row>
    <row r="110" ht="36" customHeight="1">
      <c r="A110" s="12" t="inlineStr">
        <is>
          <t>2026-12-24</t>
        </is>
      </c>
      <c r="B110" s="8" t="inlineStr">
        <is>
          <t>周四</t>
        </is>
      </c>
      <c r="C110" s="13" t="inlineStr">
        <is>
          <t>1.高等数学（75分钟）：复习第5章·定积分 §5.3(全节综合)（约P232–238）→综合复习+库课18套错题重做（库课第12套）</t>
        </is>
      </c>
      <c r="D110" s="14" t="inlineStr">
        <is>
          <t>☐ 未完成</t>
        </is>
      </c>
      <c r="E110" s="15">
        <f>COUNTIF(D110:D113,"☑ 已完成")/COUNTA(C110:C113)</f>
        <v/>
      </c>
      <c r="F110" s="14" t="n"/>
      <c r="G110" s="16" t="inlineStr"/>
    </row>
    <row r="111" ht="36" customHeight="1">
      <c r="C111" s="18" t="inlineStr">
        <is>
          <t>2.专升本英语（90分钟）：锐树网课回看+库课2000题阅读·第11-15题+本周错题总复习</t>
        </is>
      </c>
      <c r="D111" s="14" t="inlineStr">
        <is>
          <t>☐ 未完成</t>
        </is>
      </c>
    </row>
    <row r="112" ht="20" customHeight="1">
      <c r="C112" s="13" t="inlineStr">
        <is>
          <t>3.专升本英语完形+写作综合练习（45分钟）</t>
        </is>
      </c>
      <c r="D112" s="14" t="inlineStr">
        <is>
          <t>☐ 未完成</t>
        </is>
      </c>
    </row>
    <row r="113" ht="36" customHeight="1">
      <c r="C113" s="18" t="inlineStr">
        <is>
          <t>4.词汇（30分钟）：不背单词APP转专升本词本+高频词（总复习）</t>
        </is>
      </c>
      <c r="D113" s="14" t="inlineStr">
        <is>
          <t>☐ 未完成</t>
        </is>
      </c>
    </row>
    <row r="114" ht="36" customHeight="1">
      <c r="A114" s="12" t="inlineStr">
        <is>
          <t>2026-12-25</t>
        </is>
      </c>
      <c r="B114" s="8" t="inlineStr">
        <is>
          <t>周五</t>
        </is>
      </c>
      <c r="C114" s="13" t="inlineStr">
        <is>
          <t>1.高等数学（90分钟）：同济第5章 §5.4（约P238–245）·概念理解+例题精做+库课18套2题（库课第13套）</t>
        </is>
      </c>
      <c r="D114" s="14" t="inlineStr">
        <is>
          <t>☐ 未完成</t>
        </is>
      </c>
      <c r="E114" s="15">
        <f>COUNTIF(D114:D117,"☑ 已完成")/COUNTA(C114:C117)</f>
        <v/>
      </c>
      <c r="F114" s="14" t="n"/>
      <c r="G114" s="16" t="inlineStr"/>
    </row>
    <row r="115" ht="36" customHeight="1">
      <c r="C115" s="13" t="inlineStr">
        <is>
          <t>2.专升本英语（75分钟）：锐树网课《阅读填空(一)(二)》精看+笔记标注→库课2000题阅读约25题</t>
        </is>
      </c>
      <c r="D115" s="14" t="inlineStr">
        <is>
          <t>☐ 未完成</t>
        </is>
      </c>
    </row>
    <row r="116" ht="20" customHeight="1">
      <c r="C116" s="13" t="inlineStr">
        <is>
          <t>3.专升本英语阅读专项(库课阅读理解)（45分钟）</t>
        </is>
      </c>
      <c r="D116" s="14" t="inlineStr">
        <is>
          <t>☐ 未完成</t>
        </is>
      </c>
    </row>
    <row r="117" ht="36" customHeight="1">
      <c r="C117" s="17" t="inlineStr">
        <is>
          <t>4.词汇（30分钟）：不背单词APP转专升本词本+高频词（主动回忆）</t>
        </is>
      </c>
      <c r="D117" s="14" t="inlineStr">
        <is>
          <t>☐ 未完成</t>
        </is>
      </c>
    </row>
    <row r="118" ht="36" customHeight="1">
      <c r="A118" s="12" t="inlineStr">
        <is>
          <t>2026-12-26</t>
        </is>
      </c>
      <c r="B118" s="8" t="inlineStr">
        <is>
          <t>周六</t>
        </is>
      </c>
      <c r="C118" s="13" t="inlineStr">
        <is>
          <t>1.高等数学（75分钟）：复习第5章 §5.4（约P238–245）→复习对应A日内容+库课18套2道新大题（库课第13套）</t>
        </is>
      </c>
      <c r="D118" s="14" t="inlineStr">
        <is>
          <t>☐ 未完成</t>
        </is>
      </c>
      <c r="E118" s="15">
        <f>COUNTIF(D118:D121,"☑ 已完成")/COUNTA(C118:C121)</f>
        <v/>
      </c>
      <c r="F118" s="14" t="n"/>
      <c r="G118" s="16" t="inlineStr"/>
    </row>
    <row r="119" ht="36" customHeight="1">
      <c r="C119" s="18" t="inlineStr">
        <is>
          <t>2.专升本英语（90分钟）：锐树网课回看+库课2000题阅读·第1-5题巩固+错题标注</t>
        </is>
      </c>
      <c r="D119" s="14" t="inlineStr">
        <is>
          <t>☐ 未完成</t>
        </is>
      </c>
    </row>
    <row r="120" ht="20" customHeight="1">
      <c r="C120" s="13" t="inlineStr">
        <is>
          <t>3.专升本英语完形填空专项(库课完形)（45分钟）</t>
        </is>
      </c>
      <c r="D120" s="14" t="inlineStr">
        <is>
          <t>☐ 未完成</t>
        </is>
      </c>
    </row>
    <row r="121" ht="36" customHeight="1">
      <c r="C121" s="17" t="inlineStr">
        <is>
          <t>4.词汇（30分钟）：不背单词APP转专升本词本+高频词（新词巩固）</t>
        </is>
      </c>
      <c r="D121" s="14" t="inlineStr">
        <is>
          <t>☐ 未完成</t>
        </is>
      </c>
    </row>
    <row r="122" ht="20" customHeight="1">
      <c r="A122" s="12" t="inlineStr">
        <is>
          <t>2026-12-27</t>
        </is>
      </c>
      <c r="B122" s="8" t="inlineStr">
        <is>
          <t>周日</t>
        </is>
      </c>
      <c r="C122" s="13" t="inlineStr">
        <is>
          <t>1.专升本数学模考：库课18套完整卷第4套2小时估分</t>
        </is>
      </c>
      <c r="D122" s="14" t="inlineStr">
        <is>
          <t>☐ 未完成</t>
        </is>
      </c>
      <c r="E122" s="15">
        <f>COUNTIF(D122:D123,"☑ 已完成")/COUNTA(C122:C123)</f>
        <v/>
      </c>
      <c r="F122" s="14" t="n"/>
      <c r="G122" s="16" t="inlineStr">
        <is>
          <t>模考日</t>
        </is>
      </c>
    </row>
    <row r="123" ht="20" customHeight="1">
      <c r="C123" s="18" t="inlineStr">
        <is>
          <t>2.错题归因+周复盘</t>
        </is>
      </c>
      <c r="D123" s="14" t="inlineStr">
        <is>
          <t>☐ 未完成</t>
        </is>
      </c>
    </row>
    <row r="124" ht="36" customHeight="1">
      <c r="A124" s="12" t="inlineStr">
        <is>
          <t>2026-12-28</t>
        </is>
      </c>
      <c r="B124" s="8" t="inlineStr">
        <is>
          <t>周一</t>
        </is>
      </c>
      <c r="C124" s="13" t="inlineStr">
        <is>
          <t>1.高等数学（90分钟）：同济第5章 §5.5（约P245–252）·续讲精做+例题演练+库课18套2题（库课第13套）</t>
        </is>
      </c>
      <c r="D124" s="14" t="inlineStr">
        <is>
          <t>☐ 未完成</t>
        </is>
      </c>
      <c r="E124" s="15">
        <f>COUNTIF(D124:D127,"☑ 已完成")/COUNTA(C124:C127)</f>
        <v/>
      </c>
      <c r="F124" s="14" t="n"/>
      <c r="G124" s="16" t="inlineStr"/>
    </row>
    <row r="125" ht="36" customHeight="1">
      <c r="C125" s="13" t="inlineStr">
        <is>
          <t>2.专升本英语（75分钟）：锐树网课《阅读问答(一)》精看+笔记标注→库课2000题阅读约25题</t>
        </is>
      </c>
      <c r="D125" s="14" t="inlineStr">
        <is>
          <t>☐ 未完成</t>
        </is>
      </c>
    </row>
    <row r="126" ht="20" customHeight="1">
      <c r="C126" s="13" t="inlineStr">
        <is>
          <t>3.专升本英语翻译专项(库课翻译练习)（45分钟）</t>
        </is>
      </c>
      <c r="D126" s="14" t="inlineStr">
        <is>
          <t>☐ 未完成</t>
        </is>
      </c>
    </row>
    <row r="127" ht="36" customHeight="1">
      <c r="C127" s="17" t="inlineStr">
        <is>
          <t>4.词汇（30分钟）：不背单词APP转专升本词本+高频词（错词巩固）</t>
        </is>
      </c>
      <c r="D127" s="14" t="inlineStr">
        <is>
          <t>☐ 未完成</t>
        </is>
      </c>
    </row>
    <row r="128" ht="36" customHeight="1">
      <c r="A128" s="12" t="inlineStr">
        <is>
          <t>2026-12-29</t>
        </is>
      </c>
      <c r="B128" s="8" t="inlineStr">
        <is>
          <t>周二</t>
        </is>
      </c>
      <c r="C128" s="13" t="inlineStr">
        <is>
          <t>1.高等数学（75分钟）：复习第5章 §5.5（约P245–252）→概念公式默写+库课18套2道计算题（库课第13套）</t>
        </is>
      </c>
      <c r="D128" s="14" t="inlineStr">
        <is>
          <t>☐ 未完成</t>
        </is>
      </c>
      <c r="E128" s="15">
        <f>COUNTIF(D128:D131,"☑ 已完成")/COUNTA(C128:C131)</f>
        <v/>
      </c>
      <c r="F128" s="14" t="n"/>
      <c r="G128" s="16" t="inlineStr"/>
    </row>
    <row r="129" ht="36" customHeight="1">
      <c r="C129" s="18" t="inlineStr">
        <is>
          <t>2.专升本英语（90分钟）：锐树网课回看+库课2000题阅读·第6-10题错题重做</t>
        </is>
      </c>
      <c r="D129" s="14" t="inlineStr">
        <is>
          <t>☐ 未完成</t>
        </is>
      </c>
    </row>
    <row r="130" ht="20" customHeight="1">
      <c r="C130" s="13" t="inlineStr">
        <is>
          <t>3.专升本英语写作专项(库课写作)（45分钟）</t>
        </is>
      </c>
      <c r="D130" s="14" t="inlineStr">
        <is>
          <t>☐ 未完成</t>
        </is>
      </c>
    </row>
    <row r="131" ht="36" customHeight="1">
      <c r="C131" s="17" t="inlineStr">
        <is>
          <t>4.词汇（30分钟）：不背单词APP转专升本词本+高频词（听写验证）</t>
        </is>
      </c>
      <c r="D131" s="14" t="inlineStr">
        <is>
          <t>☐ 未完成</t>
        </is>
      </c>
    </row>
    <row r="132" ht="36" customHeight="1">
      <c r="A132" s="12" t="inlineStr">
        <is>
          <t>2026-12-30</t>
        </is>
      </c>
      <c r="B132" s="8" t="inlineStr">
        <is>
          <t>周三</t>
        </is>
      </c>
      <c r="C132" s="13" t="inlineStr">
        <is>
          <t>1.高等数学（90分钟）：同济第5章 §5.4–5(全节综合)（约P252–258）·课后习题+综合练习+库课18套2题（库课第13套）</t>
        </is>
      </c>
      <c r="D132" s="14" t="inlineStr">
        <is>
          <t>☐ 未完成</t>
        </is>
      </c>
      <c r="E132" s="15">
        <f>COUNTIF(D132:D135,"☑ 已完成")/COUNTA(C132:C135)</f>
        <v/>
      </c>
      <c r="F132" s="14" t="n"/>
      <c r="G132" s="16" t="inlineStr"/>
    </row>
    <row r="133" ht="36" customHeight="1">
      <c r="C133" s="18" t="inlineStr">
        <is>
          <t>2.专升本英语（75分钟）：锐树网课《习题精析·阅读填空》难点回看+综合练习→库课2000题阅读约25题</t>
        </is>
      </c>
      <c r="D133" s="14" t="inlineStr">
        <is>
          <t>☐ 未完成</t>
        </is>
      </c>
    </row>
    <row r="134" ht="20" customHeight="1">
      <c r="C134" s="13" t="inlineStr">
        <is>
          <t>3.专升本英语阅读+翻译综合练习（45分钟）</t>
        </is>
      </c>
      <c r="D134" s="14" t="inlineStr">
        <is>
          <t>☐ 未完成</t>
        </is>
      </c>
    </row>
    <row r="135" ht="36" customHeight="1">
      <c r="C135" s="17" t="inlineStr">
        <is>
          <t>4.词汇（30分钟）：不背单词APP转专升本词本+高频词（生词强化）</t>
        </is>
      </c>
      <c r="D135" s="14" t="inlineStr">
        <is>
          <t>☐ 未完成</t>
        </is>
      </c>
    </row>
    <row r="136" ht="36" customHeight="1">
      <c r="A136" s="12" t="inlineStr">
        <is>
          <t>2026-12-31</t>
        </is>
      </c>
      <c r="B136" s="8" t="inlineStr">
        <is>
          <t>周四</t>
        </is>
      </c>
      <c r="C136" s="13" t="inlineStr">
        <is>
          <t>1.高等数学（75分钟）：复习第5章 §5.4–5(全节综合)（约P252–258）→综合复习+库课18套错题重做（库课第13套）</t>
        </is>
      </c>
      <c r="D136" s="14" t="inlineStr">
        <is>
          <t>☐ 未完成</t>
        </is>
      </c>
      <c r="E136" s="15">
        <f>COUNTIF(D136:D139,"☑ 已完成")/COUNTA(C136:C139)</f>
        <v/>
      </c>
      <c r="F136" s="14" t="n"/>
      <c r="G136" s="16" t="inlineStr"/>
    </row>
    <row r="137" ht="36" customHeight="1">
      <c r="C137" s="18" t="inlineStr">
        <is>
          <t>2.专升本英语（90分钟）：锐树网课回看+库课2000题阅读·第11-15题+本周错题总复习</t>
        </is>
      </c>
      <c r="D137" s="14" t="inlineStr">
        <is>
          <t>☐ 未完成</t>
        </is>
      </c>
    </row>
    <row r="138" ht="20" customHeight="1">
      <c r="C138" s="13" t="inlineStr">
        <is>
          <t>3.专升本英语完形+写作综合练习（45分钟）</t>
        </is>
      </c>
      <c r="D138" s="14" t="inlineStr">
        <is>
          <t>☐ 未完成</t>
        </is>
      </c>
    </row>
    <row r="139" ht="36" customHeight="1">
      <c r="C139" s="18" t="inlineStr">
        <is>
          <t>4.词汇（30分钟）：不背单词APP转专升本词本+高频词（总复习）</t>
        </is>
      </c>
      <c r="D139" s="14" t="inlineStr">
        <is>
          <t>☐ 未完成</t>
        </is>
      </c>
    </row>
    <row r="141">
      <c r="A141" s="19" t="inlineStr">
        <is>
          <t>月度汇总</t>
        </is>
      </c>
    </row>
    <row r="142">
      <c r="A142" s="19" t="inlineStr">
        <is>
          <t>已完成</t>
        </is>
      </c>
      <c r="B142">
        <f>COUNTIF(D2:D139,"☑ 已完成")</f>
        <v/>
      </c>
    </row>
    <row r="143">
      <c r="A143" s="19" t="inlineStr">
        <is>
          <t>未完成</t>
        </is>
      </c>
      <c r="B143">
        <f>COUNTIF(D2:D139,"☐ 未完成")</f>
        <v/>
      </c>
    </row>
    <row r="144">
      <c r="A144" s="19" t="inlineStr">
        <is>
          <t>完成率</t>
        </is>
      </c>
      <c r="B144" s="20">
        <f>COUNTIF(D2:D139,"☑ 已完成")/(COUNTIF(D2:D139,"☑ 已完成")+COUNTIF(D2:D139,"☐ 未完成"))</f>
        <v/>
      </c>
    </row>
  </sheetData>
  <mergeCells count="150">
    <mergeCell ref="F21:F27"/>
    <mergeCell ref="G136:G139"/>
    <mergeCell ref="F8:F14"/>
    <mergeCell ref="A88:A91"/>
    <mergeCell ref="E102:E105"/>
    <mergeCell ref="G102:G105"/>
    <mergeCell ref="B43:B48"/>
    <mergeCell ref="G98:G101"/>
    <mergeCell ref="F124:F127"/>
    <mergeCell ref="E36:E42"/>
    <mergeCell ref="B49:B55"/>
    <mergeCell ref="E88:E91"/>
    <mergeCell ref="E128:E131"/>
    <mergeCell ref="B132:B135"/>
    <mergeCell ref="F2:F7"/>
    <mergeCell ref="F110:F113"/>
    <mergeCell ref="F49:F55"/>
    <mergeCell ref="E62:E68"/>
    <mergeCell ref="A76:A79"/>
    <mergeCell ref="B84:B87"/>
    <mergeCell ref="F122:F123"/>
    <mergeCell ref="A56:A61"/>
    <mergeCell ref="B118:B121"/>
    <mergeCell ref="E110:E113"/>
    <mergeCell ref="E21:E27"/>
    <mergeCell ref="E8:E14"/>
    <mergeCell ref="G8:G14"/>
    <mergeCell ref="E76:E79"/>
    <mergeCell ref="B21:B27"/>
    <mergeCell ref="F28:F33"/>
    <mergeCell ref="G76:G79"/>
    <mergeCell ref="B80:B83"/>
    <mergeCell ref="F98:F101"/>
    <mergeCell ref="B62:B68"/>
    <mergeCell ref="A102:A105"/>
    <mergeCell ref="F88:F91"/>
    <mergeCell ref="A92:A95"/>
    <mergeCell ref="F34:F35"/>
    <mergeCell ref="F128:F131"/>
    <mergeCell ref="G70:G71"/>
    <mergeCell ref="E49:E55"/>
    <mergeCell ref="E136:E139"/>
    <mergeCell ref="E92:E95"/>
    <mergeCell ref="A70:A71"/>
    <mergeCell ref="E122:E123"/>
    <mergeCell ref="G122:G123"/>
    <mergeCell ref="B106:B109"/>
    <mergeCell ref="A128:A131"/>
    <mergeCell ref="E84:E87"/>
    <mergeCell ref="B2:B7"/>
    <mergeCell ref="G128:G131"/>
    <mergeCell ref="A62:A68"/>
    <mergeCell ref="E80:E83"/>
    <mergeCell ref="G80:G83"/>
    <mergeCell ref="E114:E117"/>
    <mergeCell ref="F102:F105"/>
    <mergeCell ref="F96:F97"/>
    <mergeCell ref="E15:E20"/>
    <mergeCell ref="G88:G91"/>
    <mergeCell ref="G15:G20"/>
    <mergeCell ref="B92:B95"/>
    <mergeCell ref="B28:B33"/>
    <mergeCell ref="B124:B127"/>
    <mergeCell ref="A36:A42"/>
    <mergeCell ref="G114:G117"/>
    <mergeCell ref="A106:A109"/>
    <mergeCell ref="F136:F139"/>
    <mergeCell ref="A43:A48"/>
    <mergeCell ref="E124:E127"/>
    <mergeCell ref="B110:B113"/>
    <mergeCell ref="E106:E109"/>
    <mergeCell ref="G106:G109"/>
    <mergeCell ref="F36:F42"/>
    <mergeCell ref="B122:B123"/>
    <mergeCell ref="A132:A135"/>
    <mergeCell ref="A110:A113"/>
    <mergeCell ref="G43:G48"/>
    <mergeCell ref="A8:A14"/>
    <mergeCell ref="G2:G7"/>
    <mergeCell ref="B102:B105"/>
    <mergeCell ref="G49:G55"/>
    <mergeCell ref="F15:F20"/>
    <mergeCell ref="E132:E135"/>
    <mergeCell ref="E43:E48"/>
    <mergeCell ref="G132:G135"/>
    <mergeCell ref="F62:F68"/>
    <mergeCell ref="A84:A87"/>
    <mergeCell ref="B98:B101"/>
    <mergeCell ref="B56:B61"/>
    <mergeCell ref="F114:F117"/>
    <mergeCell ref="A118:A121"/>
    <mergeCell ref="B88:B91"/>
    <mergeCell ref="B34:B35"/>
    <mergeCell ref="E28:E33"/>
    <mergeCell ref="F76:F79"/>
    <mergeCell ref="A80:A83"/>
    <mergeCell ref="G28:G33"/>
    <mergeCell ref="E118:E121"/>
    <mergeCell ref="G124:G127"/>
    <mergeCell ref="G118:G121"/>
    <mergeCell ref="A136:A139"/>
    <mergeCell ref="E70:E71"/>
    <mergeCell ref="A122:A123"/>
    <mergeCell ref="F56:F61"/>
    <mergeCell ref="G21:G27"/>
    <mergeCell ref="F43:F48"/>
    <mergeCell ref="A72:A75"/>
    <mergeCell ref="G36:G42"/>
    <mergeCell ref="G110:G113"/>
    <mergeCell ref="F92:F95"/>
    <mergeCell ref="F132:F135"/>
    <mergeCell ref="E96:E97"/>
    <mergeCell ref="G62:G68"/>
    <mergeCell ref="A114:A117"/>
    <mergeCell ref="F84:F87"/>
    <mergeCell ref="E56:E61"/>
    <mergeCell ref="B96:B97"/>
    <mergeCell ref="G56:G61"/>
    <mergeCell ref="F118:F121"/>
    <mergeCell ref="A15:A20"/>
    <mergeCell ref="B70:B71"/>
    <mergeCell ref="B72:B75"/>
    <mergeCell ref="F70:F71"/>
    <mergeCell ref="E34:E35"/>
    <mergeCell ref="G34:G35"/>
    <mergeCell ref="F80:F83"/>
    <mergeCell ref="A21:A27"/>
    <mergeCell ref="B136:B139"/>
    <mergeCell ref="E98:E101"/>
    <mergeCell ref="A124:A127"/>
    <mergeCell ref="F72:F75"/>
    <mergeCell ref="B36:B42"/>
    <mergeCell ref="B128:B131"/>
    <mergeCell ref="G92:G95"/>
    <mergeCell ref="A2:A7"/>
    <mergeCell ref="A96:A97"/>
    <mergeCell ref="A49:A55"/>
    <mergeCell ref="E2:E7"/>
    <mergeCell ref="F106:F109"/>
    <mergeCell ref="B15:B20"/>
    <mergeCell ref="B114:B117"/>
    <mergeCell ref="G84:G87"/>
    <mergeCell ref="A34:A35"/>
    <mergeCell ref="G96:G97"/>
    <mergeCell ref="B8:B14"/>
    <mergeCell ref="E72:E75"/>
    <mergeCell ref="A28:A33"/>
    <mergeCell ref="G72:G75"/>
    <mergeCell ref="B76:B79"/>
    <mergeCell ref="A98:A101"/>
  </mergeCells>
  <dataValidations count="1">
    <dataValidation sqref="D2:D139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2027-01-01</t>
        </is>
      </c>
      <c r="B2" s="8" t="inlineStr">
        <is>
          <t>周五</t>
        </is>
      </c>
      <c r="C2" s="18" t="inlineStr">
        <is>
          <t>【节假日·约2小时】1.词汇：不背单词APP转专升本词本+高频词（不变）</t>
        </is>
      </c>
      <c r="D2" s="14" t="inlineStr">
        <is>
          <t>☐ 未完成</t>
        </is>
      </c>
      <c r="E2" s="15">
        <f>COUNTIF(D2:D4,"☑ 已完成")/COUNTA(C2:C4)</f>
        <v/>
      </c>
      <c r="F2" s="14" t="n"/>
      <c r="G2" s="16" t="inlineStr">
        <is>
          <t>节假日·减半(约2小时)</t>
        </is>
      </c>
    </row>
    <row r="3" ht="20" customHeight="1">
      <c r="C3" s="18" t="inlineStr">
        <is>
          <t>2.高等数学：只复习本周错题40分钟</t>
        </is>
      </c>
      <c r="D3" s="14" t="inlineStr">
        <is>
          <t>☐ 未完成</t>
        </is>
      </c>
    </row>
    <row r="4" ht="20" customHeight="1">
      <c r="C4" s="18" t="inlineStr">
        <is>
          <t>3.专升本英语：库课2000题错题回顾30分钟</t>
        </is>
      </c>
      <c r="D4" s="14" t="inlineStr">
        <is>
          <t>☐ 未完成</t>
        </is>
      </c>
    </row>
    <row r="5" ht="36" customHeight="1">
      <c r="A5" s="12" t="inlineStr">
        <is>
          <t>2027-01-02</t>
        </is>
      </c>
      <c r="B5" s="8" t="inlineStr">
        <is>
          <t>周六</t>
        </is>
      </c>
      <c r="C5" s="13" t="inlineStr">
        <is>
          <t>1.高等数学（75分钟）：复习第5章综合+库课章节汇总→复习对应A日内容+库课18套2道新大题（库课第14套）</t>
        </is>
      </c>
      <c r="D5" s="14" t="inlineStr">
        <is>
          <t>☐ 未完成</t>
        </is>
      </c>
      <c r="E5" s="15">
        <f>COUNTIF(D5:D8,"☑ 已完成")/COUNTA(C5:C8)</f>
        <v/>
      </c>
      <c r="F5" s="14" t="n"/>
      <c r="G5" s="16" t="inlineStr"/>
    </row>
    <row r="6" ht="36" customHeight="1">
      <c r="C6" s="18" t="inlineStr">
        <is>
          <t>2.专升本英语（90分钟）：锐树网课回看+库课2000题翻译·第1-5题巩固+错题标注</t>
        </is>
      </c>
      <c r="D6" s="14" t="inlineStr">
        <is>
          <t>☐ 未完成</t>
        </is>
      </c>
    </row>
    <row r="7" ht="20" customHeight="1">
      <c r="C7" s="13" t="inlineStr">
        <is>
          <t>3.专升本英语完形填空专项(库课完形)（45分钟）</t>
        </is>
      </c>
      <c r="D7" s="14" t="inlineStr">
        <is>
          <t>☐ 未完成</t>
        </is>
      </c>
    </row>
    <row r="8" ht="36" customHeight="1">
      <c r="C8" s="17" t="inlineStr">
        <is>
          <t>4.词汇（30分钟）：不背单词APP转专升本词本+高频词（新词巩固）</t>
        </is>
      </c>
      <c r="D8" s="14" t="inlineStr">
        <is>
          <t>☐ 未完成</t>
        </is>
      </c>
    </row>
    <row r="9" ht="20" customHeight="1">
      <c r="A9" s="12" t="inlineStr">
        <is>
          <t>2027-01-03</t>
        </is>
      </c>
      <c r="B9" s="8" t="inlineStr">
        <is>
          <t>周日</t>
        </is>
      </c>
      <c r="C9" s="13" t="inlineStr">
        <is>
          <t>1.专升本英语模考：真题综合（约2小时）</t>
        </is>
      </c>
      <c r="D9" s="14" t="inlineStr">
        <is>
          <t>☐ 未完成</t>
        </is>
      </c>
      <c r="E9" s="15">
        <f>COUNTIF(D9:D10,"☑ 已完成")/COUNTA(C9:C10)</f>
        <v/>
      </c>
      <c r="F9" s="14" t="n"/>
      <c r="G9" s="16" t="inlineStr">
        <is>
          <t>模考日</t>
        </is>
      </c>
    </row>
    <row r="10" ht="20" customHeight="1">
      <c r="C10" s="18" t="inlineStr">
        <is>
          <t>2.错题归因+周复盘</t>
        </is>
      </c>
      <c r="D10" s="14" t="inlineStr">
        <is>
          <t>☐ 未完成</t>
        </is>
      </c>
    </row>
    <row r="11" ht="36" customHeight="1">
      <c r="A11" s="12" t="inlineStr">
        <is>
          <t>2027-01-04</t>
        </is>
      </c>
      <c r="B11" s="8" t="inlineStr">
        <is>
          <t>周一</t>
        </is>
      </c>
      <c r="C11" s="13" t="inlineStr">
        <is>
          <t>1.高等数学（90分钟）：同济第5章综合+库课章节汇总·概念理解+例题精做+库课18套2题（库课第14套）</t>
        </is>
      </c>
      <c r="D11" s="14" t="inlineStr">
        <is>
          <t>☐ 未完成</t>
        </is>
      </c>
      <c r="E11" s="15">
        <f>COUNTIF(D11:D14,"☑ 已完成")/COUNTA(C11:C14)</f>
        <v/>
      </c>
      <c r="F11" s="14" t="n"/>
      <c r="G11" s="16" t="inlineStr"/>
    </row>
    <row r="12" ht="36" customHeight="1">
      <c r="C12" s="13" t="inlineStr">
        <is>
          <t>2.专升本英语（75分钟）：锐树网课《阅读问答(二)(三)》精看+笔记标注→库课2000题翻译约25题</t>
        </is>
      </c>
      <c r="D12" s="14" t="inlineStr">
        <is>
          <t>☐ 未完成</t>
        </is>
      </c>
    </row>
    <row r="13" ht="20" customHeight="1">
      <c r="C13" s="13" t="inlineStr">
        <is>
          <t>3.专升本英语阅读专项(库课阅读理解)（45分钟）</t>
        </is>
      </c>
      <c r="D13" s="14" t="inlineStr">
        <is>
          <t>☐ 未完成</t>
        </is>
      </c>
    </row>
    <row r="14" ht="36" customHeight="1">
      <c r="C14" s="17" t="inlineStr">
        <is>
          <t>4.词汇（30分钟）：不背单词APP转专升本词本+高频词（主动回忆）</t>
        </is>
      </c>
      <c r="D14" s="14" t="inlineStr">
        <is>
          <t>☐ 未完成</t>
        </is>
      </c>
    </row>
    <row r="15" ht="36" customHeight="1">
      <c r="A15" s="12" t="inlineStr">
        <is>
          <t>2027-01-05</t>
        </is>
      </c>
      <c r="B15" s="8" t="inlineStr">
        <is>
          <t>周二</t>
        </is>
      </c>
      <c r="C15" s="13" t="inlineStr">
        <is>
          <t>1.高等数学（75分钟）：复习第5章综合+库课章节汇总→概念公式默写+库课18套2道计算题（库课第14套）</t>
        </is>
      </c>
      <c r="D15" s="14" t="inlineStr">
        <is>
          <t>☐ 未完成</t>
        </is>
      </c>
      <c r="E15" s="15">
        <f>COUNTIF(D15:D18,"☑ 已完成")/COUNTA(C15:C18)</f>
        <v/>
      </c>
      <c r="F15" s="14" t="n"/>
      <c r="G15" s="16" t="inlineStr"/>
    </row>
    <row r="16" ht="36" customHeight="1">
      <c r="C16" s="18" t="inlineStr">
        <is>
          <t>2.专升本英语（90分钟）：锐树网课回看+库课2000题翻译·第6-10题错题重做</t>
        </is>
      </c>
      <c r="D16" s="14" t="inlineStr">
        <is>
          <t>☐ 未完成</t>
        </is>
      </c>
    </row>
    <row r="17" ht="20" customHeight="1">
      <c r="C17" s="13" t="inlineStr">
        <is>
          <t>3.专升本英语写作专项(库课写作)（45分钟）</t>
        </is>
      </c>
      <c r="D17" s="14" t="inlineStr">
        <is>
          <t>☐ 未完成</t>
        </is>
      </c>
    </row>
    <row r="18" ht="36" customHeight="1">
      <c r="C18" s="17" t="inlineStr">
        <is>
          <t>4.词汇（30分钟）：不背单词APP转专升本词本+高频词（听写验证）</t>
        </is>
      </c>
      <c r="D18" s="14" t="inlineStr">
        <is>
          <t>☐ 未完成</t>
        </is>
      </c>
    </row>
    <row r="19" ht="36" customHeight="1">
      <c r="A19" s="12" t="inlineStr">
        <is>
          <t>2027-01-06</t>
        </is>
      </c>
      <c r="B19" s="8" t="inlineStr">
        <is>
          <t>周三</t>
        </is>
      </c>
      <c r="C19" s="13" t="inlineStr">
        <is>
          <t>1.高等数学（90分钟）：同济第5章综合+库课章节汇总·续讲精做+例题演练+库课18套2题（库课第14套）</t>
        </is>
      </c>
      <c r="D19" s="14" t="inlineStr">
        <is>
          <t>☐ 未完成</t>
        </is>
      </c>
      <c r="E19" s="15">
        <f>COUNTIF(D19:D22,"☑ 已完成")/COUNTA(C19:C22)</f>
        <v/>
      </c>
      <c r="F19" s="14" t="n"/>
      <c r="G19" s="16" t="inlineStr"/>
    </row>
    <row r="20" ht="36" customHeight="1">
      <c r="C20" s="13" t="inlineStr">
        <is>
          <t>2.专升本英语（75分钟）：锐树网课《英译汉》精看+笔记标注→库课2000题翻译约25题</t>
        </is>
      </c>
      <c r="D20" s="14" t="inlineStr">
        <is>
          <t>☐ 未完成</t>
        </is>
      </c>
    </row>
    <row r="21" ht="20" customHeight="1">
      <c r="C21" s="13" t="inlineStr">
        <is>
          <t>3.专升本英语翻译专项(库课翻译练习)（45分钟）</t>
        </is>
      </c>
      <c r="D21" s="14" t="inlineStr">
        <is>
          <t>☐ 未完成</t>
        </is>
      </c>
    </row>
    <row r="22" ht="36" customHeight="1">
      <c r="C22" s="17" t="inlineStr">
        <is>
          <t>4.词汇（30分钟）：不背单词APP转专升本词本+高频词（错词巩固）</t>
        </is>
      </c>
      <c r="D22" s="14" t="inlineStr">
        <is>
          <t>☐ 未完成</t>
        </is>
      </c>
    </row>
    <row r="23" ht="36" customHeight="1">
      <c r="A23" s="12" t="inlineStr">
        <is>
          <t>2027-01-07</t>
        </is>
      </c>
      <c r="B23" s="8" t="inlineStr">
        <is>
          <t>周四</t>
        </is>
      </c>
      <c r="C23" s="13" t="inlineStr">
        <is>
          <t>1.高等数学（75分钟）：复习第5章综合+库课章节汇总→综合复习+库课18套错题重做（库课第14套）</t>
        </is>
      </c>
      <c r="D23" s="14" t="inlineStr">
        <is>
          <t>☐ 未完成</t>
        </is>
      </c>
      <c r="E23" s="15">
        <f>COUNTIF(D23:D26,"☑ 已完成")/COUNTA(C23:C26)</f>
        <v/>
      </c>
      <c r="F23" s="14" t="n"/>
      <c r="G23" s="16" t="inlineStr"/>
    </row>
    <row r="24" ht="36" customHeight="1">
      <c r="C24" s="18" t="inlineStr">
        <is>
          <t>2.专升本英语（90分钟）：锐树网课回看+库课2000题翻译·第11-15题+本周错题总复习</t>
        </is>
      </c>
      <c r="D24" s="14" t="inlineStr">
        <is>
          <t>☐ 未完成</t>
        </is>
      </c>
    </row>
    <row r="25" ht="20" customHeight="1">
      <c r="C25" s="13" t="inlineStr">
        <is>
          <t>3.专升本英语完形+写作综合练习（45分钟）</t>
        </is>
      </c>
      <c r="D25" s="14" t="inlineStr">
        <is>
          <t>☐ 未完成</t>
        </is>
      </c>
    </row>
    <row r="26" ht="36" customHeight="1">
      <c r="C26" s="18" t="inlineStr">
        <is>
          <t>4.词汇（30分钟）：不背单词APP转专升本词本+高频词（总复习）</t>
        </is>
      </c>
      <c r="D26" s="14" t="inlineStr">
        <is>
          <t>☐ 未完成</t>
        </is>
      </c>
    </row>
    <row r="27" ht="36" customHeight="1">
      <c r="A27" s="12" t="inlineStr">
        <is>
          <t>2027-01-08</t>
        </is>
      </c>
      <c r="B27" s="8" t="inlineStr">
        <is>
          <t>周五</t>
        </is>
      </c>
      <c r="C27" s="13" t="inlineStr">
        <is>
          <t>1.高等数学（90分钟）：同济第6章·微分方程 §6.1（约P260–265）·概念理解+例题精做+库课18套2题（库课第15套）</t>
        </is>
      </c>
      <c r="D27" s="14" t="inlineStr">
        <is>
          <t>☐ 未完成</t>
        </is>
      </c>
      <c r="E27" s="15">
        <f>COUNTIF(D27:D30,"☑ 已完成")/COUNTA(C27:C30)</f>
        <v/>
      </c>
      <c r="F27" s="14" t="n"/>
      <c r="G27" s="16" t="inlineStr"/>
    </row>
    <row r="28" ht="36" customHeight="1">
      <c r="C28" s="13" t="inlineStr">
        <is>
          <t>2.专升本英语（75分钟）：锐树网课《汉译英》精看+笔记标注→库课2000题写作约25题</t>
        </is>
      </c>
      <c r="D28" s="14" t="inlineStr">
        <is>
          <t>☐ 未完成</t>
        </is>
      </c>
    </row>
    <row r="29" ht="20" customHeight="1">
      <c r="C29" s="13" t="inlineStr">
        <is>
          <t>3.专升本英语阅读专项(库课阅读理解)（45分钟）</t>
        </is>
      </c>
      <c r="D29" s="14" t="inlineStr">
        <is>
          <t>☐ 未完成</t>
        </is>
      </c>
    </row>
    <row r="30" ht="36" customHeight="1">
      <c r="C30" s="17" t="inlineStr">
        <is>
          <t>4.词汇（30分钟）：不背单词APP转专升本词本+高频词（主动回忆）</t>
        </is>
      </c>
      <c r="D30" s="14" t="inlineStr">
        <is>
          <t>☐ 未完成</t>
        </is>
      </c>
    </row>
    <row r="31" ht="36" customHeight="1">
      <c r="A31" s="12" t="inlineStr">
        <is>
          <t>2027-01-09</t>
        </is>
      </c>
      <c r="B31" s="8" t="inlineStr">
        <is>
          <t>周六</t>
        </is>
      </c>
      <c r="C31" s="13" t="inlineStr">
        <is>
          <t>1.高等数学（75分钟）：复习第6章·微分方程 §6.1（约P260–265）→复习对应A日内容+库课18套2道新大题（库课第15套）</t>
        </is>
      </c>
      <c r="D31" s="14" t="inlineStr">
        <is>
          <t>☐ 未完成</t>
        </is>
      </c>
      <c r="E31" s="15">
        <f>COUNTIF(D31:D34,"☑ 已完成")/COUNTA(C31:C34)</f>
        <v/>
      </c>
      <c r="F31" s="14" t="n"/>
      <c r="G31" s="16" t="inlineStr"/>
    </row>
    <row r="32" ht="36" customHeight="1">
      <c r="C32" s="18" t="inlineStr">
        <is>
          <t>2.专升本英语（90分钟）：锐树网课回看+库课2000题写作·第1-5题巩固+错题标注</t>
        </is>
      </c>
      <c r="D32" s="14" t="inlineStr">
        <is>
          <t>☐ 未完成</t>
        </is>
      </c>
    </row>
    <row r="33" ht="20" customHeight="1">
      <c r="C33" s="13" t="inlineStr">
        <is>
          <t>3.专升本英语完形填空专项(库课完形)（45分钟）</t>
        </is>
      </c>
      <c r="D33" s="14" t="inlineStr">
        <is>
          <t>☐ 未完成</t>
        </is>
      </c>
    </row>
    <row r="34" ht="36" customHeight="1">
      <c r="C34" s="17" t="inlineStr">
        <is>
          <t>4.词汇（30分钟）：不背单词APP转专升本词本+高频词（新词巩固）</t>
        </is>
      </c>
      <c r="D34" s="14" t="inlineStr">
        <is>
          <t>☐ 未完成</t>
        </is>
      </c>
    </row>
    <row r="35" ht="20" customHeight="1">
      <c r="A35" s="12" t="inlineStr">
        <is>
          <t>2027-01-10</t>
        </is>
      </c>
      <c r="B35" s="8" t="inlineStr">
        <is>
          <t>周日</t>
        </is>
      </c>
      <c r="C35" s="13" t="inlineStr">
        <is>
          <t>1.专升本数学模考：库课18套完整卷第5套2小时估分</t>
        </is>
      </c>
      <c r="D35" s="14" t="inlineStr">
        <is>
          <t>☐ 未完成</t>
        </is>
      </c>
      <c r="E35" s="15">
        <f>COUNTIF(D35:D36,"☑ 已完成")/COUNTA(C35:C36)</f>
        <v/>
      </c>
      <c r="F35" s="14" t="n"/>
      <c r="G35" s="16" t="inlineStr">
        <is>
          <t>模考日</t>
        </is>
      </c>
    </row>
    <row r="36" ht="20" customHeight="1">
      <c r="C36" s="18" t="inlineStr">
        <is>
          <t>2.错题归因+周复盘</t>
        </is>
      </c>
      <c r="D36" s="14" t="inlineStr">
        <is>
          <t>☐ 未完成</t>
        </is>
      </c>
    </row>
    <row r="37" ht="36" customHeight="1">
      <c r="A37" s="12" t="inlineStr">
        <is>
          <t>2027-01-11</t>
        </is>
      </c>
      <c r="B37" s="8" t="inlineStr">
        <is>
          <t>周一</t>
        </is>
      </c>
      <c r="C37" s="13" t="inlineStr">
        <is>
          <t>1.高等数学（90分钟）：同济第6章·微分方程 §6.2（约P265–270）·续讲精做+例题演练+库课18套2题（库课第15套）</t>
        </is>
      </c>
      <c r="D37" s="14" t="inlineStr">
        <is>
          <t>☐ 未完成</t>
        </is>
      </c>
      <c r="E37" s="15">
        <f>COUNTIF(D37:D40,"☑ 已完成")/COUNTA(C37:C40)</f>
        <v/>
      </c>
      <c r="F37" s="14" t="n"/>
      <c r="G37" s="16" t="inlineStr"/>
    </row>
    <row r="38" ht="36" customHeight="1">
      <c r="C38" s="13" t="inlineStr">
        <is>
          <t>2.专升本英语（75分钟）：锐树网课《写作(提纲/命题图景)》精看+笔记标注→库课2000题写作约25题</t>
        </is>
      </c>
      <c r="D38" s="14" t="inlineStr">
        <is>
          <t>☐ 未完成</t>
        </is>
      </c>
    </row>
    <row r="39" ht="20" customHeight="1">
      <c r="C39" s="13" t="inlineStr">
        <is>
          <t>3.专升本英语翻译专项(库课翻译练习)（45分钟）</t>
        </is>
      </c>
      <c r="D39" s="14" t="inlineStr">
        <is>
          <t>☐ 未完成</t>
        </is>
      </c>
    </row>
    <row r="40" ht="36" customHeight="1">
      <c r="C40" s="17" t="inlineStr">
        <is>
          <t>4.词汇（30分钟）：不背单词APP转专升本词本+高频词（错词巩固）</t>
        </is>
      </c>
      <c r="D40" s="14" t="inlineStr">
        <is>
          <t>☐ 未完成</t>
        </is>
      </c>
    </row>
    <row r="41" ht="36" customHeight="1">
      <c r="A41" s="12" t="inlineStr">
        <is>
          <t>2027-01-12</t>
        </is>
      </c>
      <c r="B41" s="8" t="inlineStr">
        <is>
          <t>周二</t>
        </is>
      </c>
      <c r="C41" s="13" t="inlineStr">
        <is>
          <t>1.高等数学（75分钟）：复习第6章·微分方程 §6.2（约P265–270）→概念公式默写+库课18套2道计算题（库课第15套）</t>
        </is>
      </c>
      <c r="D41" s="14" t="inlineStr">
        <is>
          <t>☐ 未完成</t>
        </is>
      </c>
      <c r="E41" s="15">
        <f>COUNTIF(D41:D44,"☑ 已完成")/COUNTA(C41:C44)</f>
        <v/>
      </c>
      <c r="F41" s="14" t="n"/>
      <c r="G41" s="16" t="inlineStr"/>
    </row>
    <row r="42" ht="36" customHeight="1">
      <c r="C42" s="18" t="inlineStr">
        <is>
          <t>2.专升本英语（90分钟）：锐树网课回看+库课2000题写作·第6-10题错题重做</t>
        </is>
      </c>
      <c r="D42" s="14" t="inlineStr">
        <is>
          <t>☐ 未完成</t>
        </is>
      </c>
    </row>
    <row r="43" ht="20" customHeight="1">
      <c r="C43" s="13" t="inlineStr">
        <is>
          <t>3.专升本英语写作专项(库课写作)（45分钟）</t>
        </is>
      </c>
      <c r="D43" s="14" t="inlineStr">
        <is>
          <t>☐ 未完成</t>
        </is>
      </c>
    </row>
    <row r="44" ht="36" customHeight="1">
      <c r="C44" s="17" t="inlineStr">
        <is>
          <t>4.词汇（30分钟）：不背单词APP转专升本词本+高频词（听写验证）</t>
        </is>
      </c>
      <c r="D44" s="14" t="inlineStr">
        <is>
          <t>☐ 未完成</t>
        </is>
      </c>
    </row>
    <row r="45" ht="52" customHeight="1">
      <c r="A45" s="12" t="inlineStr">
        <is>
          <t>2027-01-13</t>
        </is>
      </c>
      <c r="B45" s="8" t="inlineStr">
        <is>
          <t>周三</t>
        </is>
      </c>
      <c r="C45" s="13" t="inlineStr">
        <is>
          <t>1.高等数学（90分钟）：同济第6章·微分方程 §6.1–2(全节综合)（约P270–276）·课后习题+综合练习+库课18套2题（库课第15套）</t>
        </is>
      </c>
      <c r="D45" s="14" t="inlineStr">
        <is>
          <t>☐ 未完成</t>
        </is>
      </c>
      <c r="E45" s="15">
        <f>COUNTIF(D45:D48,"☑ 已完成")/COUNTA(C45:C48)</f>
        <v/>
      </c>
      <c r="F45" s="14" t="n"/>
      <c r="G45" s="16" t="inlineStr"/>
    </row>
    <row r="46" ht="36" customHeight="1">
      <c r="C46" s="18" t="inlineStr">
        <is>
          <t>2.专升本英语（75分钟）：锐树网课《习题精析·翻译》难点回看+综合练习→库课2000题写作约25题</t>
        </is>
      </c>
      <c r="D46" s="14" t="inlineStr">
        <is>
          <t>☐ 未完成</t>
        </is>
      </c>
    </row>
    <row r="47" ht="20" customHeight="1">
      <c r="C47" s="13" t="inlineStr">
        <is>
          <t>3.专升本英语阅读+翻译综合练习（45分钟）</t>
        </is>
      </c>
      <c r="D47" s="14" t="inlineStr">
        <is>
          <t>☐ 未完成</t>
        </is>
      </c>
    </row>
    <row r="48" ht="36" customHeight="1">
      <c r="C48" s="17" t="inlineStr">
        <is>
          <t>4.词汇（30分钟）：不背单词APP转专升本词本+高频词（生词强化）</t>
        </is>
      </c>
      <c r="D48" s="14" t="inlineStr">
        <is>
          <t>☐ 未完成</t>
        </is>
      </c>
    </row>
    <row r="49" ht="52" customHeight="1">
      <c r="A49" s="12" t="inlineStr">
        <is>
          <t>2027-01-14</t>
        </is>
      </c>
      <c r="B49" s="8" t="inlineStr">
        <is>
          <t>周四</t>
        </is>
      </c>
      <c r="C49" s="13" t="inlineStr">
        <is>
          <t>1.高等数学（75分钟）：复习第6章·微分方程 §6.1–2(全节综合)（约P270–276）→综合复习+库课18套错题重做（库课第15套）</t>
        </is>
      </c>
      <c r="D49" s="14" t="inlineStr">
        <is>
          <t>☐ 未完成</t>
        </is>
      </c>
      <c r="E49" s="15">
        <f>COUNTIF(D49:D52,"☑ 已完成")/COUNTA(C49:C52)</f>
        <v/>
      </c>
      <c r="F49" s="14" t="n"/>
      <c r="G49" s="16" t="inlineStr"/>
    </row>
    <row r="50" ht="36" customHeight="1">
      <c r="C50" s="18" t="inlineStr">
        <is>
          <t>2.专升本英语（90分钟）：锐树网课回看+库课2000题写作·第11-15题+本周错题总复习</t>
        </is>
      </c>
      <c r="D50" s="14" t="inlineStr">
        <is>
          <t>☐ 未完成</t>
        </is>
      </c>
    </row>
    <row r="51" ht="20" customHeight="1">
      <c r="C51" s="13" t="inlineStr">
        <is>
          <t>3.专升本英语完形+写作综合练习（45分钟）</t>
        </is>
      </c>
      <c r="D51" s="14" t="inlineStr">
        <is>
          <t>☐ 未完成</t>
        </is>
      </c>
    </row>
    <row r="52" ht="36" customHeight="1">
      <c r="C52" s="18" t="inlineStr">
        <is>
          <t>4.词汇（30分钟）：不背单词APP转专升本词本+高频词（总复习）</t>
        </is>
      </c>
      <c r="D52" s="14" t="inlineStr">
        <is>
          <t>☐ 未完成</t>
        </is>
      </c>
    </row>
    <row r="53" ht="36" customHeight="1">
      <c r="A53" s="12" t="inlineStr">
        <is>
          <t>2027-01-15</t>
        </is>
      </c>
      <c r="B53" s="8" t="inlineStr">
        <is>
          <t>周五</t>
        </is>
      </c>
      <c r="C53" s="13" t="inlineStr">
        <is>
          <t>1.高等数学（90分钟）：同济第6章·微分方程 §6.3（约P276–281）·概念理解+例题精做+库课18套2题（库课第16套）</t>
        </is>
      </c>
      <c r="D53" s="14" t="inlineStr">
        <is>
          <t>☐ 未完成</t>
        </is>
      </c>
      <c r="E53" s="15">
        <f>COUNTIF(D53:D56,"☑ 已完成")/COUNTA(C53:C56)</f>
        <v/>
      </c>
      <c r="F53" s="14" t="n"/>
      <c r="G53" s="16" t="inlineStr"/>
    </row>
    <row r="54" ht="36" customHeight="1">
      <c r="C54" s="13" t="inlineStr">
        <is>
          <t>2.专升本英语（75分钟）：锐树网课《写作(应用文)》精看+笔记标注→库课2000题专项综合约25题</t>
        </is>
      </c>
      <c r="D54" s="14" t="inlineStr">
        <is>
          <t>☐ 未完成</t>
        </is>
      </c>
    </row>
    <row r="55" ht="20" customHeight="1">
      <c r="C55" s="13" t="inlineStr">
        <is>
          <t>3.专升本英语阅读专项(库课阅读理解)（45分钟）</t>
        </is>
      </c>
      <c r="D55" s="14" t="inlineStr">
        <is>
          <t>☐ 未完成</t>
        </is>
      </c>
    </row>
    <row r="56" ht="36" customHeight="1">
      <c r="C56" s="17" t="inlineStr">
        <is>
          <t>4.词汇（30分钟）：不背单词APP转专升本词本+高频词（主动回忆）</t>
        </is>
      </c>
      <c r="D56" s="14" t="inlineStr">
        <is>
          <t>☐ 未完成</t>
        </is>
      </c>
    </row>
    <row r="57" ht="36" customHeight="1">
      <c r="A57" s="12" t="inlineStr">
        <is>
          <t>2027-01-16</t>
        </is>
      </c>
      <c r="B57" s="8" t="inlineStr">
        <is>
          <t>周六</t>
        </is>
      </c>
      <c r="C57" s="13" t="inlineStr">
        <is>
          <t>1.高等数学（75分钟）：复习第6章·微分方程 §6.3（约P276–281）→复习对应A日内容+库课18套2道新大题（库课第16套）</t>
        </is>
      </c>
      <c r="D57" s="14" t="inlineStr">
        <is>
          <t>☐ 未完成</t>
        </is>
      </c>
      <c r="E57" s="15">
        <f>COUNTIF(D57:D60,"☑ 已完成")/COUNTA(C57:C60)</f>
        <v/>
      </c>
      <c r="F57" s="14" t="n"/>
      <c r="G57" s="16" t="inlineStr"/>
    </row>
    <row r="58" ht="36" customHeight="1">
      <c r="C58" s="18" t="inlineStr">
        <is>
          <t>2.专升本英语（90分钟）：锐树网课回看+库课2000题专项综合·第1-5题巩固+错题标注</t>
        </is>
      </c>
      <c r="D58" s="14" t="inlineStr">
        <is>
          <t>☐ 未完成</t>
        </is>
      </c>
    </row>
    <row r="59" ht="20" customHeight="1">
      <c r="C59" s="13" t="inlineStr">
        <is>
          <t>3.专升本英语完形填空专项(库课完形)（45分钟）</t>
        </is>
      </c>
      <c r="D59" s="14" t="inlineStr">
        <is>
          <t>☐ 未完成</t>
        </is>
      </c>
    </row>
    <row r="60" ht="36" customHeight="1">
      <c r="C60" s="17" t="inlineStr">
        <is>
          <t>4.词汇（30分钟）：不背单词APP转专升本词本+高频词（新词巩固）</t>
        </is>
      </c>
      <c r="D60" s="14" t="inlineStr">
        <is>
          <t>☐ 未完成</t>
        </is>
      </c>
    </row>
    <row r="61" ht="20" customHeight="1">
      <c r="A61" s="12" t="inlineStr">
        <is>
          <t>2027-01-17</t>
        </is>
      </c>
      <c r="B61" s="8" t="inlineStr">
        <is>
          <t>周日</t>
        </is>
      </c>
      <c r="C61" s="13" t="inlineStr">
        <is>
          <t>1.专升本英语模考：2020年真题（约2小时）</t>
        </is>
      </c>
      <c r="D61" s="14" t="inlineStr">
        <is>
          <t>☐ 未完成</t>
        </is>
      </c>
      <c r="E61" s="15">
        <f>COUNTIF(D61:D62,"☑ 已完成")/COUNTA(C61:C62)</f>
        <v/>
      </c>
      <c r="F61" s="14" t="n"/>
      <c r="G61" s="16" t="inlineStr">
        <is>
          <t>模考日</t>
        </is>
      </c>
    </row>
    <row r="62" ht="20" customHeight="1">
      <c r="C62" s="18" t="inlineStr">
        <is>
          <t>2.错题归因+周复盘</t>
        </is>
      </c>
      <c r="D62" s="14" t="inlineStr">
        <is>
          <t>☐ 未完成</t>
        </is>
      </c>
    </row>
    <row r="63" ht="36" customHeight="1">
      <c r="A63" s="12" t="inlineStr">
        <is>
          <t>2027-01-18</t>
        </is>
      </c>
      <c r="B63" s="8" t="inlineStr">
        <is>
          <t>周一</t>
        </is>
      </c>
      <c r="C63" s="13" t="inlineStr">
        <is>
          <t>1.高等数学（90分钟）：同济第6章·微分方程 §6.4（约P281–286）·续讲精做+例题演练+库课18套2题（库课第16套）</t>
        </is>
      </c>
      <c r="D63" s="14" t="inlineStr">
        <is>
          <t>☐ 未完成</t>
        </is>
      </c>
      <c r="E63" s="15">
        <f>COUNTIF(D63:D66,"☑ 已完成")/COUNTA(C63:C66)</f>
        <v/>
      </c>
      <c r="F63" s="14" t="n"/>
      <c r="G63" s="16" t="inlineStr"/>
    </row>
    <row r="64" ht="36" customHeight="1">
      <c r="C64" s="13" t="inlineStr">
        <is>
          <t>2.专升本英语（75分钟）：锐树网课《习题精析·写作》精看+笔记标注→库课2000题专项综合约25题</t>
        </is>
      </c>
      <c r="D64" s="14" t="inlineStr">
        <is>
          <t>☐ 未完成</t>
        </is>
      </c>
    </row>
    <row r="65" ht="20" customHeight="1">
      <c r="C65" s="13" t="inlineStr">
        <is>
          <t>3.专升本英语翻译专项(库课翻译练习)（45分钟）</t>
        </is>
      </c>
      <c r="D65" s="14" t="inlineStr">
        <is>
          <t>☐ 未完成</t>
        </is>
      </c>
    </row>
    <row r="66" ht="36" customHeight="1">
      <c r="C66" s="17" t="inlineStr">
        <is>
          <t>4.词汇（30分钟）：不背单词APP转专升本词本+高频词（错词巩固）</t>
        </is>
      </c>
      <c r="D66" s="14" t="inlineStr">
        <is>
          <t>☐ 未完成</t>
        </is>
      </c>
    </row>
    <row r="67" ht="36" customHeight="1">
      <c r="A67" s="12" t="inlineStr">
        <is>
          <t>2027-01-19</t>
        </is>
      </c>
      <c r="B67" s="8" t="inlineStr">
        <is>
          <t>周二</t>
        </is>
      </c>
      <c r="C67" s="13" t="inlineStr">
        <is>
          <t>1.高等数学（75分钟）：复习第6章·微分方程 §6.4（约P281–286）→概念公式默写+库课18套2道计算题（库课第16套）</t>
        </is>
      </c>
      <c r="D67" s="14" t="inlineStr">
        <is>
          <t>☐ 未完成</t>
        </is>
      </c>
      <c r="E67" s="15">
        <f>COUNTIF(D67:D70,"☑ 已完成")/COUNTA(C67:C70)</f>
        <v/>
      </c>
      <c r="F67" s="14" t="n"/>
      <c r="G67" s="16" t="inlineStr"/>
    </row>
    <row r="68" ht="36" customHeight="1">
      <c r="C68" s="18" t="inlineStr">
        <is>
          <t>2.专升本英语（90分钟）：锐树网课回看+库课2000题专项综合·第6-10题错题重做</t>
        </is>
      </c>
      <c r="D68" s="14" t="inlineStr">
        <is>
          <t>☐ 未完成</t>
        </is>
      </c>
    </row>
    <row r="69" ht="20" customHeight="1">
      <c r="C69" s="13" t="inlineStr">
        <is>
          <t>3.专升本英语写作专项(库课写作)（45分钟）</t>
        </is>
      </c>
      <c r="D69" s="14" t="inlineStr">
        <is>
          <t>☐ 未完成</t>
        </is>
      </c>
    </row>
    <row r="70" ht="36" customHeight="1">
      <c r="C70" s="17" t="inlineStr">
        <is>
          <t>4.词汇（30分钟）：不背单词APP转专升本词本+高频词（听写验证）</t>
        </is>
      </c>
      <c r="D70" s="14" t="inlineStr">
        <is>
          <t>☐ 未完成</t>
        </is>
      </c>
    </row>
    <row r="71" ht="52" customHeight="1">
      <c r="A71" s="12" t="inlineStr">
        <is>
          <t>2027-01-20</t>
        </is>
      </c>
      <c r="B71" s="8" t="inlineStr">
        <is>
          <t>周三</t>
        </is>
      </c>
      <c r="C71" s="13" t="inlineStr">
        <is>
          <t>1.高等数学（90分钟）：同济第6章·微分方程 §6.3–4(全节综合)（约P286–292）·课后习题+综合练习+库课18套2题（库课第16套）</t>
        </is>
      </c>
      <c r="D71" s="14" t="inlineStr">
        <is>
          <t>☐ 未完成</t>
        </is>
      </c>
      <c r="E71" s="15">
        <f>COUNTIF(D71:D74,"☑ 已完成")/COUNTA(C71:C74)</f>
        <v/>
      </c>
      <c r="F71" s="14" t="n"/>
      <c r="G71" s="16" t="inlineStr"/>
    </row>
    <row r="72" ht="36" customHeight="1">
      <c r="C72" s="18" t="inlineStr">
        <is>
          <t>2.专升本英语（75分钟）：锐树网课《写作(应用文)＋习题精析·写作》难点回看+综合练习→库课2000题专项综合约25题</t>
        </is>
      </c>
      <c r="D72" s="14" t="inlineStr">
        <is>
          <t>☐ 未完成</t>
        </is>
      </c>
    </row>
    <row r="73" ht="20" customHeight="1">
      <c r="C73" s="13" t="inlineStr">
        <is>
          <t>3.专升本英语阅读+翻译综合练习（45分钟）</t>
        </is>
      </c>
      <c r="D73" s="14" t="inlineStr">
        <is>
          <t>☐ 未完成</t>
        </is>
      </c>
    </row>
    <row r="74" ht="36" customHeight="1">
      <c r="C74" s="17" t="inlineStr">
        <is>
          <t>4.词汇（30分钟）：不背单词APP转专升本词本+高频词（生词强化）</t>
        </is>
      </c>
      <c r="D74" s="14" t="inlineStr">
        <is>
          <t>☐ 未完成</t>
        </is>
      </c>
    </row>
    <row r="75" ht="52" customHeight="1">
      <c r="A75" s="12" t="inlineStr">
        <is>
          <t>2027-01-21</t>
        </is>
      </c>
      <c r="B75" s="8" t="inlineStr">
        <is>
          <t>周四</t>
        </is>
      </c>
      <c r="C75" s="13" t="inlineStr">
        <is>
          <t>1.高等数学（75分钟）：复习第6章·微分方程 §6.3–4(全节综合)（约P286–292）→综合复习+库课18套错题重做（库课第16套）</t>
        </is>
      </c>
      <c r="D75" s="14" t="inlineStr">
        <is>
          <t>☐ 未完成</t>
        </is>
      </c>
      <c r="E75" s="15">
        <f>COUNTIF(D75:D78,"☑ 已完成")/COUNTA(C75:C78)</f>
        <v/>
      </c>
      <c r="F75" s="14" t="n"/>
      <c r="G75" s="16" t="inlineStr"/>
    </row>
    <row r="76" ht="36" customHeight="1">
      <c r="C76" s="18" t="inlineStr">
        <is>
          <t>2.专升本英语（90分钟）：锐树网课回看+库课2000题专项综合·第11-15题+本周错题总复习</t>
        </is>
      </c>
      <c r="D76" s="14" t="inlineStr">
        <is>
          <t>☐ 未完成</t>
        </is>
      </c>
    </row>
    <row r="77" ht="20" customHeight="1">
      <c r="C77" s="13" t="inlineStr">
        <is>
          <t>3.专升本英语完形+写作综合练习（45分钟）</t>
        </is>
      </c>
      <c r="D77" s="14" t="inlineStr">
        <is>
          <t>☐ 未完成</t>
        </is>
      </c>
    </row>
    <row r="78" ht="36" customHeight="1">
      <c r="C78" s="18" t="inlineStr">
        <is>
          <t>4.词汇（30分钟）：不背单词APP转专升本词本+高频词（总复习）</t>
        </is>
      </c>
      <c r="D78" s="14" t="inlineStr">
        <is>
          <t>☐ 未完成</t>
        </is>
      </c>
    </row>
    <row r="79" ht="36" customHeight="1">
      <c r="A79" s="12" t="inlineStr">
        <is>
          <t>2027-01-22</t>
        </is>
      </c>
      <c r="B79" s="8" t="inlineStr">
        <is>
          <t>周五</t>
        </is>
      </c>
      <c r="C79" s="13" t="inlineStr">
        <is>
          <t>1.高等数学（90分钟）：同济第6章·微分方程 §6.5（约P292–297）·概念理解+例题精做+库课18套2题（库课第17套）</t>
        </is>
      </c>
      <c r="D79" s="14" t="inlineStr">
        <is>
          <t>☐ 未完成</t>
        </is>
      </c>
      <c r="E79" s="15">
        <f>COUNTIF(D79:D82,"☑ 已完成")/COUNTA(C79:C82)</f>
        <v/>
      </c>
      <c r="F79" s="14" t="n"/>
      <c r="G79" s="16" t="inlineStr"/>
    </row>
    <row r="80" ht="36" customHeight="1">
      <c r="C80" s="13" t="inlineStr">
        <is>
          <t>2.专升本英语（75分钟）：锐树网课《朱老师版·词汇概括＋名词专项》精看+笔记标注→库课2000题专项综合约25题</t>
        </is>
      </c>
      <c r="D80" s="14" t="inlineStr">
        <is>
          <t>☐ 未完成</t>
        </is>
      </c>
    </row>
    <row r="81" ht="20" customHeight="1">
      <c r="C81" s="13" t="inlineStr">
        <is>
          <t>3.专升本英语阅读专项(库课阅读理解)（45分钟）</t>
        </is>
      </c>
      <c r="D81" s="14" t="inlineStr">
        <is>
          <t>☐ 未完成</t>
        </is>
      </c>
    </row>
    <row r="82" ht="36" customHeight="1">
      <c r="C82" s="17" t="inlineStr">
        <is>
          <t>4.词汇（30分钟）：不背单词APP转专升本词本+高频词（主动回忆）</t>
        </is>
      </c>
      <c r="D82" s="14" t="inlineStr">
        <is>
          <t>☐ 未完成</t>
        </is>
      </c>
    </row>
    <row r="83" ht="36" customHeight="1">
      <c r="A83" s="12" t="inlineStr">
        <is>
          <t>2027-01-23</t>
        </is>
      </c>
      <c r="B83" s="8" t="inlineStr">
        <is>
          <t>周六</t>
        </is>
      </c>
      <c r="C83" s="13" t="inlineStr">
        <is>
          <t>1.高等数学（75分钟）：复习第6章·微分方程 §6.5（约P292–297）→复习对应A日内容+库课18套2道新大题（库课第17套）</t>
        </is>
      </c>
      <c r="D83" s="14" t="inlineStr">
        <is>
          <t>☐ 未完成</t>
        </is>
      </c>
      <c r="E83" s="15">
        <f>COUNTIF(D83:D86,"☑ 已完成")/COUNTA(C83:C86)</f>
        <v/>
      </c>
      <c r="F83" s="14" t="n"/>
      <c r="G83" s="16" t="inlineStr"/>
    </row>
    <row r="84" ht="36" customHeight="1">
      <c r="C84" s="18" t="inlineStr">
        <is>
          <t>2.专升本英语（90分钟）：锐树网课回看+库课2000题专项综合·第1-5题巩固+错题标注</t>
        </is>
      </c>
      <c r="D84" s="14" t="inlineStr">
        <is>
          <t>☐ 未完成</t>
        </is>
      </c>
    </row>
    <row r="85" ht="20" customHeight="1">
      <c r="C85" s="13" t="inlineStr">
        <is>
          <t>3.专升本英语完形填空专项(库课完形)（45分钟）</t>
        </is>
      </c>
      <c r="D85" s="14" t="inlineStr">
        <is>
          <t>☐ 未完成</t>
        </is>
      </c>
    </row>
    <row r="86" ht="36" customHeight="1">
      <c r="C86" s="17" t="inlineStr">
        <is>
          <t>4.词汇（30分钟）：不背单词APP转专升本词本+高频词（新词巩固）</t>
        </is>
      </c>
      <c r="D86" s="14" t="inlineStr">
        <is>
          <t>☐ 未完成</t>
        </is>
      </c>
    </row>
    <row r="87" ht="20" customHeight="1">
      <c r="A87" s="12" t="inlineStr">
        <is>
          <t>2027-01-24</t>
        </is>
      </c>
      <c r="B87" s="8" t="inlineStr">
        <is>
          <t>周日</t>
        </is>
      </c>
      <c r="C87" s="13" t="inlineStr">
        <is>
          <t>1.专升本数学模考：库课18套完整卷第6套2小时估分</t>
        </is>
      </c>
      <c r="D87" s="14" t="inlineStr">
        <is>
          <t>☐ 未完成</t>
        </is>
      </c>
      <c r="E87" s="15">
        <f>COUNTIF(D87:D88,"☑ 已完成")/COUNTA(C87:C88)</f>
        <v/>
      </c>
      <c r="F87" s="14" t="n"/>
      <c r="G87" s="16" t="inlineStr">
        <is>
          <t>模考日</t>
        </is>
      </c>
    </row>
    <row r="88" ht="20" customHeight="1">
      <c r="C88" s="18" t="inlineStr">
        <is>
          <t>2.错题归因+周复盘</t>
        </is>
      </c>
      <c r="D88" s="14" t="inlineStr">
        <is>
          <t>☐ 未完成</t>
        </is>
      </c>
    </row>
    <row r="89" ht="36" customHeight="1">
      <c r="A89" s="12" t="inlineStr">
        <is>
          <t>2027-01-25</t>
        </is>
      </c>
      <c r="B89" s="8" t="inlineStr">
        <is>
          <t>周一</t>
        </is>
      </c>
      <c r="C89" s="13" t="inlineStr">
        <is>
          <t>1.高等数学（90分钟）：同济第6章·微分方程 §6.6（约P297–302）·续讲精做+例题演练+库课18套2题（库课第17套）</t>
        </is>
      </c>
      <c r="D89" s="14" t="inlineStr">
        <is>
          <t>☐ 未完成</t>
        </is>
      </c>
      <c r="E89" s="15">
        <f>COUNTIF(D89:D92,"☑ 已完成")/COUNTA(C89:C92)</f>
        <v/>
      </c>
      <c r="F89" s="14" t="n"/>
      <c r="G89" s="16" t="inlineStr"/>
    </row>
    <row r="90" ht="36" customHeight="1">
      <c r="C90" s="13" t="inlineStr">
        <is>
          <t>2.专升本英语（75分钟）：锐树网课《动词专项(一)》精看+笔记标注→库课2000题专项综合约25题</t>
        </is>
      </c>
      <c r="D90" s="14" t="inlineStr">
        <is>
          <t>☐ 未完成</t>
        </is>
      </c>
    </row>
    <row r="91" ht="20" customHeight="1">
      <c r="C91" s="13" t="inlineStr">
        <is>
          <t>3.专升本英语翻译专项(库课翻译练习)（45分钟）</t>
        </is>
      </c>
      <c r="D91" s="14" t="inlineStr">
        <is>
          <t>☐ 未完成</t>
        </is>
      </c>
    </row>
    <row r="92" ht="36" customHeight="1">
      <c r="C92" s="17" t="inlineStr">
        <is>
          <t>4.词汇（30分钟）：不背单词APP转专升本词本+高频词（错词巩固）</t>
        </is>
      </c>
      <c r="D92" s="14" t="inlineStr">
        <is>
          <t>☐ 未完成</t>
        </is>
      </c>
    </row>
    <row r="93" ht="36" customHeight="1">
      <c r="A93" s="12" t="inlineStr">
        <is>
          <t>2027-01-26</t>
        </is>
      </c>
      <c r="B93" s="8" t="inlineStr">
        <is>
          <t>周二</t>
        </is>
      </c>
      <c r="C93" s="13" t="inlineStr">
        <is>
          <t>1.高等数学（75分钟）：复习第6章·微分方程 §6.6（约P297–302）→概念公式默写+库课18套2道计算题（库课第17套）</t>
        </is>
      </c>
      <c r="D93" s="14" t="inlineStr">
        <is>
          <t>☐ 未完成</t>
        </is>
      </c>
      <c r="E93" s="15">
        <f>COUNTIF(D93:D96,"☑ 已完成")/COUNTA(C93:C96)</f>
        <v/>
      </c>
      <c r="F93" s="14" t="n"/>
      <c r="G93" s="16" t="inlineStr"/>
    </row>
    <row r="94" ht="36" customHeight="1">
      <c r="C94" s="18" t="inlineStr">
        <is>
          <t>2.专升本英语（90分钟）：锐树网课回看+库课2000题专项综合·第6-10题错题重做</t>
        </is>
      </c>
      <c r="D94" s="14" t="inlineStr">
        <is>
          <t>☐ 未完成</t>
        </is>
      </c>
    </row>
    <row r="95" ht="20" customHeight="1">
      <c r="C95" s="13" t="inlineStr">
        <is>
          <t>3.专升本英语写作专项(库课写作)（45分钟）</t>
        </is>
      </c>
      <c r="D95" s="14" t="inlineStr">
        <is>
          <t>☐ 未完成</t>
        </is>
      </c>
    </row>
    <row r="96" ht="36" customHeight="1">
      <c r="C96" s="17" t="inlineStr">
        <is>
          <t>4.词汇（30分钟）：不背单词APP转专升本词本+高频词（听写验证）</t>
        </is>
      </c>
      <c r="D96" s="14" t="inlineStr">
        <is>
          <t>☐ 未完成</t>
        </is>
      </c>
    </row>
    <row r="97" ht="52" customHeight="1">
      <c r="A97" s="12" t="inlineStr">
        <is>
          <t>2027-01-27</t>
        </is>
      </c>
      <c r="B97" s="8" t="inlineStr">
        <is>
          <t>周三</t>
        </is>
      </c>
      <c r="C97" s="13" t="inlineStr">
        <is>
          <t>1.高等数学（90分钟）：同济第6章·微分方程 §6.5–6(全节综合)（约P302–306）·课后习题+综合练习+库课18套2题（库课第17套）</t>
        </is>
      </c>
      <c r="D97" s="14" t="inlineStr">
        <is>
          <t>☐ 未完成</t>
        </is>
      </c>
      <c r="E97" s="15">
        <f>COUNTIF(D97:D100,"☑ 已完成")/COUNTA(C97:C100)</f>
        <v/>
      </c>
      <c r="F97" s="14" t="n"/>
      <c r="G97" s="16" t="inlineStr"/>
    </row>
    <row r="98" ht="36" customHeight="1">
      <c r="C98" s="18" t="inlineStr">
        <is>
          <t>2.专升本英语（75分钟）：锐树网课《章节练习·名词15题》难点回看+综合练习→库课2000题专项综合约25题</t>
        </is>
      </c>
      <c r="D98" s="14" t="inlineStr">
        <is>
          <t>☐ 未完成</t>
        </is>
      </c>
    </row>
    <row r="99" ht="20" customHeight="1">
      <c r="C99" s="13" t="inlineStr">
        <is>
          <t>3.专升本英语阅读+翻译综合练习（45分钟）</t>
        </is>
      </c>
      <c r="D99" s="14" t="inlineStr">
        <is>
          <t>☐ 未完成</t>
        </is>
      </c>
    </row>
    <row r="100" ht="36" customHeight="1">
      <c r="C100" s="17" t="inlineStr">
        <is>
          <t>4.词汇（30分钟）：不背单词APP转专升本词本+高频词（生词强化）</t>
        </is>
      </c>
      <c r="D100" s="14" t="inlineStr">
        <is>
          <t>☐ 未完成</t>
        </is>
      </c>
    </row>
    <row r="101" ht="52" customHeight="1">
      <c r="A101" s="12" t="inlineStr">
        <is>
          <t>2027-01-28</t>
        </is>
      </c>
      <c r="B101" s="8" t="inlineStr">
        <is>
          <t>周四</t>
        </is>
      </c>
      <c r="C101" s="13" t="inlineStr">
        <is>
          <t>1.高等数学（75分钟）：复习第6章·微分方程 §6.5–6(全节综合)（约P302–306）→综合复习+库课18套错题重做（库课第17套）</t>
        </is>
      </c>
      <c r="D101" s="14" t="inlineStr">
        <is>
          <t>☐ 未完成</t>
        </is>
      </c>
      <c r="E101" s="15">
        <f>COUNTIF(D101:D104,"☑ 已完成")/COUNTA(C101:C104)</f>
        <v/>
      </c>
      <c r="F101" s="14" t="n"/>
      <c r="G101" s="16" t="inlineStr"/>
    </row>
    <row r="102" ht="36" customHeight="1">
      <c r="C102" s="18" t="inlineStr">
        <is>
          <t>2.专升本英语（90分钟）：锐树网课回看+库课2000题专项综合·第11-15题+本周错题总复习</t>
        </is>
      </c>
      <c r="D102" s="14" t="inlineStr">
        <is>
          <t>☐ 未完成</t>
        </is>
      </c>
    </row>
    <row r="103" ht="20" customHeight="1">
      <c r="C103" s="13" t="inlineStr">
        <is>
          <t>3.专升本英语完形+写作综合练习（45分钟）</t>
        </is>
      </c>
      <c r="D103" s="14" t="inlineStr">
        <is>
          <t>☐ 未完成</t>
        </is>
      </c>
    </row>
    <row r="104" ht="36" customHeight="1">
      <c r="C104" s="18" t="inlineStr">
        <is>
          <t>4.词汇（30分钟）：不背单词APP转专升本词本+高频词（总复习）</t>
        </is>
      </c>
      <c r="D104" s="14" t="inlineStr">
        <is>
          <t>☐ 未完成</t>
        </is>
      </c>
    </row>
    <row r="105" ht="36" customHeight="1">
      <c r="A105" s="12" t="inlineStr">
        <is>
          <t>2027-01-29</t>
        </is>
      </c>
      <c r="B105" s="8" t="inlineStr">
        <is>
          <t>周五</t>
        </is>
      </c>
      <c r="C105" s="13" t="inlineStr">
        <is>
          <t>1.高等数学（90分钟）：同济一轮复习第1–4章+错题+库课18套2题（教材二刷·第1-4章）</t>
        </is>
      </c>
      <c r="D105" s="14" t="inlineStr">
        <is>
          <t>☐ 未完成</t>
        </is>
      </c>
      <c r="E105" s="15">
        <f>COUNTIF(D105:D108,"☑ 已完成")/COUNTA(C105:C108)</f>
        <v/>
      </c>
      <c r="F105" s="14" t="n"/>
      <c r="G105" s="16" t="inlineStr"/>
    </row>
    <row r="106" ht="52" customHeight="1">
      <c r="C106" s="13" t="inlineStr">
        <is>
          <t>2.专升本英语（75分钟）：锐树网课《朱老师版·动词专项(二)(三)(四)＋章节练习·动词20题》二刷+库课2000题专项综合练习</t>
        </is>
      </c>
      <c r="D106" s="14" t="inlineStr">
        <is>
          <t>☐ 未完成</t>
        </is>
      </c>
    </row>
    <row r="107" ht="20" customHeight="1">
      <c r="C107" s="13" t="inlineStr">
        <is>
          <t>3.专升本英语阅读+翻译专项（45分钟）</t>
        </is>
      </c>
      <c r="D107" s="14" t="inlineStr">
        <is>
          <t>☐ 未完成</t>
        </is>
      </c>
    </row>
    <row r="108" ht="20" customHeight="1">
      <c r="C108" s="17" t="inlineStr">
        <is>
          <t>4.词汇（30分钟）：不背单词APP转专升本词本+高频词</t>
        </is>
      </c>
      <c r="D108" s="14" t="inlineStr">
        <is>
          <t>☐ 未完成</t>
        </is>
      </c>
    </row>
    <row r="109" ht="36" customHeight="1">
      <c r="A109" s="12" t="inlineStr">
        <is>
          <t>2027-01-30</t>
        </is>
      </c>
      <c r="B109" s="8" t="inlineStr">
        <is>
          <t>周六</t>
        </is>
      </c>
      <c r="C109" s="13" t="inlineStr">
        <is>
          <t>1.高等数学（75分钟）：错题回顾+库课18套2道新大题+教材回读（第1-4章）</t>
        </is>
      </c>
      <c r="D109" s="14" t="inlineStr">
        <is>
          <t>☐ 未完成</t>
        </is>
      </c>
      <c r="E109" s="15">
        <f>COUNTIF(D109:D112,"☑ 已完成")/COUNTA(C109:C112)</f>
        <v/>
      </c>
      <c r="F109" s="14" t="n"/>
      <c r="G109" s="16" t="inlineStr"/>
    </row>
    <row r="110" ht="36" customHeight="1">
      <c r="C110" s="18" t="inlineStr">
        <is>
          <t>2.专升本英语（90分钟）：库课2000题专项综合约15题巩固+锐树网课二刷回看</t>
        </is>
      </c>
      <c r="D110" s="14" t="inlineStr">
        <is>
          <t>☐ 未完成</t>
        </is>
      </c>
    </row>
    <row r="111" ht="20" customHeight="1">
      <c r="C111" s="13" t="inlineStr">
        <is>
          <t>3.专升本英语完形+写作专项（45分钟）</t>
        </is>
      </c>
      <c r="D111" s="14" t="inlineStr">
        <is>
          <t>☐ 未完成</t>
        </is>
      </c>
    </row>
    <row r="112" ht="20" customHeight="1">
      <c r="C112" s="17" t="inlineStr">
        <is>
          <t>4.词汇（30分钟）：不背单词APP转专升本词本+高频词</t>
        </is>
      </c>
      <c r="D112" s="14" t="inlineStr">
        <is>
          <t>☐ 未完成</t>
        </is>
      </c>
    </row>
    <row r="113" ht="20" customHeight="1">
      <c r="A113" s="12" t="inlineStr">
        <is>
          <t>2027-01-31</t>
        </is>
      </c>
      <c r="B113" s="8" t="inlineStr">
        <is>
          <t>周日</t>
        </is>
      </c>
      <c r="C113" s="13" t="inlineStr">
        <is>
          <t>1.专升本英语模考：2021年真题（约2小时）</t>
        </is>
      </c>
      <c r="D113" s="14" t="inlineStr">
        <is>
          <t>☐ 未完成</t>
        </is>
      </c>
      <c r="E113" s="15">
        <f>COUNTIF(D113:D114,"☑ 已完成")/COUNTA(C113:C114)</f>
        <v/>
      </c>
      <c r="F113" s="14" t="n"/>
      <c r="G113" s="16" t="inlineStr">
        <is>
          <t>里程碑·数学正确率≥70%/锐树网课全专项看完</t>
        </is>
      </c>
    </row>
    <row r="114" ht="20" customHeight="1">
      <c r="C114" s="18" t="inlineStr">
        <is>
          <t>2.错题归因+周复盘</t>
        </is>
      </c>
      <c r="D114" s="14" t="inlineStr">
        <is>
          <t>☐ 未完成</t>
        </is>
      </c>
    </row>
    <row r="116">
      <c r="A116" s="19" t="inlineStr">
        <is>
          <t>月度汇总</t>
        </is>
      </c>
    </row>
    <row r="117">
      <c r="A117" s="19" t="inlineStr">
        <is>
          <t>已完成</t>
        </is>
      </c>
      <c r="B117">
        <f>COUNTIF(D2:D114,"☑ 已完成")</f>
        <v/>
      </c>
    </row>
    <row r="118">
      <c r="A118" s="19" t="inlineStr">
        <is>
          <t>未完成</t>
        </is>
      </c>
      <c r="B118">
        <f>COUNTIF(D2:D114,"☐ 未完成")</f>
        <v/>
      </c>
    </row>
    <row r="119">
      <c r="A119" s="19" t="inlineStr">
        <is>
          <t>完成率</t>
        </is>
      </c>
      <c r="B119" s="20">
        <f>COUNTIF(D2:D114,"☑ 已完成")/(COUNTIF(D2:D114,"☑ 已完成")+COUNTIF(D2:D114,"☐ 未完成"))</f>
        <v/>
      </c>
    </row>
  </sheetData>
  <mergeCells count="155">
    <mergeCell ref="B75:B78"/>
    <mergeCell ref="E23:E26"/>
    <mergeCell ref="A79:A82"/>
    <mergeCell ref="F83:F86"/>
    <mergeCell ref="B61:B62"/>
    <mergeCell ref="A45:A48"/>
    <mergeCell ref="B11:B14"/>
    <mergeCell ref="F5:F8"/>
    <mergeCell ref="E79:E82"/>
    <mergeCell ref="B67:B70"/>
    <mergeCell ref="E87:E88"/>
    <mergeCell ref="G87:G88"/>
    <mergeCell ref="A105:A108"/>
    <mergeCell ref="G97:G100"/>
    <mergeCell ref="A113:A114"/>
    <mergeCell ref="A37:A40"/>
    <mergeCell ref="A71:A74"/>
    <mergeCell ref="B53:B56"/>
    <mergeCell ref="F97:F100"/>
    <mergeCell ref="G83:G86"/>
    <mergeCell ref="F109:F112"/>
    <mergeCell ref="E113:E114"/>
    <mergeCell ref="G113:G114"/>
    <mergeCell ref="G2:G4"/>
    <mergeCell ref="E89:E92"/>
    <mergeCell ref="B37:B40"/>
    <mergeCell ref="A53:A56"/>
    <mergeCell ref="B15:B18"/>
    <mergeCell ref="E11:E14"/>
    <mergeCell ref="G89:G92"/>
    <mergeCell ref="G35:G36"/>
    <mergeCell ref="A63:A66"/>
    <mergeCell ref="F71:F74"/>
    <mergeCell ref="E57:E60"/>
    <mergeCell ref="A35:A36"/>
    <mergeCell ref="A93:A96"/>
    <mergeCell ref="B79:B82"/>
    <mergeCell ref="E75:E78"/>
    <mergeCell ref="F37:F40"/>
    <mergeCell ref="A83:A86"/>
    <mergeCell ref="B63:B66"/>
    <mergeCell ref="B41:B44"/>
    <mergeCell ref="A49:A52"/>
    <mergeCell ref="G11:G14"/>
    <mergeCell ref="B35:B36"/>
    <mergeCell ref="F57:F60"/>
    <mergeCell ref="G105:G108"/>
    <mergeCell ref="A61:A62"/>
    <mergeCell ref="G101:G104"/>
    <mergeCell ref="B27:B30"/>
    <mergeCell ref="B93:B96"/>
    <mergeCell ref="G23:G26"/>
    <mergeCell ref="A87:A88"/>
    <mergeCell ref="B105:B108"/>
    <mergeCell ref="F35:F36"/>
    <mergeCell ref="F45:F48"/>
    <mergeCell ref="A89:A92"/>
    <mergeCell ref="E31:E34"/>
    <mergeCell ref="E15:E18"/>
    <mergeCell ref="G37:G40"/>
    <mergeCell ref="G15:G18"/>
    <mergeCell ref="B19:B22"/>
    <mergeCell ref="B101:B104"/>
    <mergeCell ref="F101:F104"/>
    <mergeCell ref="A27:A30"/>
    <mergeCell ref="F75:F78"/>
    <mergeCell ref="F93:F96"/>
    <mergeCell ref="A23:A26"/>
    <mergeCell ref="F9:F10"/>
    <mergeCell ref="F31:F34"/>
    <mergeCell ref="F61:F62"/>
    <mergeCell ref="B83:B86"/>
    <mergeCell ref="A57:A60"/>
    <mergeCell ref="G63:G66"/>
    <mergeCell ref="G41:G44"/>
    <mergeCell ref="F67:F70"/>
    <mergeCell ref="G9:G10"/>
    <mergeCell ref="A9:A10"/>
    <mergeCell ref="E41:E44"/>
    <mergeCell ref="E97:E100"/>
    <mergeCell ref="B45:B48"/>
    <mergeCell ref="G27:G30"/>
    <mergeCell ref="E93:E96"/>
    <mergeCell ref="A67:A70"/>
    <mergeCell ref="B97:B100"/>
    <mergeCell ref="G61:G62"/>
    <mergeCell ref="B109:B112"/>
    <mergeCell ref="A2:A4"/>
    <mergeCell ref="E83:E86"/>
    <mergeCell ref="A11:A14"/>
    <mergeCell ref="E67:E70"/>
    <mergeCell ref="E5:E8"/>
    <mergeCell ref="G67:G70"/>
    <mergeCell ref="B71:B74"/>
    <mergeCell ref="E19:E22"/>
    <mergeCell ref="G19:G22"/>
    <mergeCell ref="A75:A78"/>
    <mergeCell ref="F113:F114"/>
    <mergeCell ref="G53:G56"/>
    <mergeCell ref="B57:B60"/>
    <mergeCell ref="G5:G8"/>
    <mergeCell ref="B9:B10"/>
    <mergeCell ref="A101:A104"/>
    <mergeCell ref="A97:A100"/>
    <mergeCell ref="B2:B4"/>
    <mergeCell ref="E45:E48"/>
    <mergeCell ref="G45:G48"/>
    <mergeCell ref="B49:B52"/>
    <mergeCell ref="G79:G82"/>
    <mergeCell ref="B5:B8"/>
    <mergeCell ref="A31:A34"/>
    <mergeCell ref="E109:E112"/>
    <mergeCell ref="G109:G112"/>
    <mergeCell ref="F2:F4"/>
    <mergeCell ref="A15:A18"/>
    <mergeCell ref="F87:F88"/>
    <mergeCell ref="E37:E40"/>
    <mergeCell ref="F11:F14"/>
    <mergeCell ref="E71:E74"/>
    <mergeCell ref="E2:E4"/>
    <mergeCell ref="G71:G74"/>
    <mergeCell ref="B31:B34"/>
    <mergeCell ref="F53:F56"/>
    <mergeCell ref="F15:F18"/>
    <mergeCell ref="E63:E66"/>
    <mergeCell ref="G57:G60"/>
    <mergeCell ref="F89:F92"/>
    <mergeCell ref="E35:E36"/>
    <mergeCell ref="E9:E10"/>
    <mergeCell ref="B23:B26"/>
    <mergeCell ref="F79:F82"/>
    <mergeCell ref="A41:A44"/>
    <mergeCell ref="E105:E108"/>
    <mergeCell ref="F41:F44"/>
    <mergeCell ref="F23:F26"/>
    <mergeCell ref="E49:E52"/>
    <mergeCell ref="E27:E30"/>
    <mergeCell ref="G49:G52"/>
    <mergeCell ref="B87:B88"/>
    <mergeCell ref="E61:E62"/>
    <mergeCell ref="F105:F108"/>
    <mergeCell ref="G93:G96"/>
    <mergeCell ref="A5:A8"/>
    <mergeCell ref="A19:A22"/>
    <mergeCell ref="F27:F30"/>
    <mergeCell ref="E101:E104"/>
    <mergeCell ref="G75:G78"/>
    <mergeCell ref="A109:A112"/>
    <mergeCell ref="B113:B114"/>
    <mergeCell ref="G31:G34"/>
    <mergeCell ref="F63:F66"/>
    <mergeCell ref="B89:B92"/>
    <mergeCell ref="F49:F52"/>
    <mergeCell ref="E53:E56"/>
    <mergeCell ref="F19:F22"/>
  </mergeCells>
  <dataValidations count="1">
    <dataValidation sqref="D2:D114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2027-02-01</t>
        </is>
      </c>
      <c r="B2" s="8" t="inlineStr">
        <is>
          <t>周一</t>
        </is>
      </c>
      <c r="C2" s="13" t="inlineStr">
        <is>
          <t>1.高等数学（90分钟）：同济一轮复习第1–4章+错题+库课18套2题（教材二刷·第1-4章）</t>
        </is>
      </c>
      <c r="D2" s="14" t="inlineStr">
        <is>
          <t>☐ 未完成</t>
        </is>
      </c>
      <c r="E2" s="15">
        <f>COUNTIF(D2:D5,"☑ 已完成")/COUNTA(C2:C5)</f>
        <v/>
      </c>
      <c r="F2" s="14" t="n"/>
      <c r="G2" s="16" t="inlineStr"/>
    </row>
    <row r="3" ht="52" customHeight="1">
      <c r="C3" s="13" t="inlineStr">
        <is>
          <t>2.专升本英语（75分钟）：锐树网课《朱老师版·动词专项(二)(三)(四)＋章节练习·动词20题》二刷+库课2000题专项综合练习</t>
        </is>
      </c>
      <c r="D3" s="14" t="inlineStr">
        <is>
          <t>☐ 未完成</t>
        </is>
      </c>
    </row>
    <row r="4" ht="20" customHeight="1">
      <c r="C4" s="13" t="inlineStr">
        <is>
          <t>3.专升本英语阅读+翻译专项（45分钟）</t>
        </is>
      </c>
      <c r="D4" s="14" t="inlineStr">
        <is>
          <t>☐ 未完成</t>
        </is>
      </c>
    </row>
    <row r="5" ht="20" customHeight="1">
      <c r="C5" s="17" t="inlineStr">
        <is>
          <t>4.词汇（30分钟）：不背单词APP转专升本词本+高频词</t>
        </is>
      </c>
      <c r="D5" s="14" t="inlineStr">
        <is>
          <t>☐ 未完成</t>
        </is>
      </c>
    </row>
    <row r="6" ht="36" customHeight="1">
      <c r="A6" s="12" t="inlineStr">
        <is>
          <t>2027-02-02</t>
        </is>
      </c>
      <c r="B6" s="8" t="inlineStr">
        <is>
          <t>周二</t>
        </is>
      </c>
      <c r="C6" s="13" t="inlineStr">
        <is>
          <t>1.高等数学（75分钟）：错题回顾+库课18套2道新大题+教材回读（第1-4章）</t>
        </is>
      </c>
      <c r="D6" s="14" t="inlineStr">
        <is>
          <t>☐ 未完成</t>
        </is>
      </c>
      <c r="E6" s="15">
        <f>COUNTIF(D6:D9,"☑ 已完成")/COUNTA(C6:C9)</f>
        <v/>
      </c>
      <c r="F6" s="14" t="n"/>
      <c r="G6" s="16" t="inlineStr"/>
    </row>
    <row r="7" ht="36" customHeight="1">
      <c r="C7" s="18" t="inlineStr">
        <is>
          <t>2.专升本英语（90分钟）：库课2000题专项综合约15题巩固+锐树网课二刷回看</t>
        </is>
      </c>
      <c r="D7" s="14" t="inlineStr">
        <is>
          <t>☐ 未完成</t>
        </is>
      </c>
    </row>
    <row r="8" ht="20" customHeight="1">
      <c r="C8" s="13" t="inlineStr">
        <is>
          <t>3.专升本英语完形+写作专项（45分钟）</t>
        </is>
      </c>
      <c r="D8" s="14" t="inlineStr">
        <is>
          <t>☐ 未完成</t>
        </is>
      </c>
    </row>
    <row r="9" ht="20" customHeight="1">
      <c r="C9" s="17" t="inlineStr">
        <is>
          <t>4.词汇（30分钟）：不背单词APP转专升本词本+高频词</t>
        </is>
      </c>
      <c r="D9" s="14" t="inlineStr">
        <is>
          <t>☐ 未完成</t>
        </is>
      </c>
    </row>
    <row r="10" ht="36" customHeight="1">
      <c r="A10" s="12" t="inlineStr">
        <is>
          <t>2027-02-03</t>
        </is>
      </c>
      <c r="B10" s="8" t="inlineStr">
        <is>
          <t>周三</t>
        </is>
      </c>
      <c r="C10" s="13" t="inlineStr">
        <is>
          <t>1.高等数学（90分钟）：同济一轮复习第1–4章+错题+库课18套2题（教材二刷·第1-4章）</t>
        </is>
      </c>
      <c r="D10" s="14" t="inlineStr">
        <is>
          <t>☐ 未完成</t>
        </is>
      </c>
      <c r="E10" s="15">
        <f>COUNTIF(D10:D13,"☑ 已完成")/COUNTA(C10:C13)</f>
        <v/>
      </c>
      <c r="F10" s="14" t="n"/>
      <c r="G10" s="16" t="inlineStr"/>
    </row>
    <row r="11" ht="52" customHeight="1">
      <c r="C11" s="13" t="inlineStr">
        <is>
          <t>2.专升本英语（75分钟）：锐树网课《朱老师版·动词专项(二)(三)(四)＋章节练习·动词20题》二刷+库课2000题专项综合练习</t>
        </is>
      </c>
      <c r="D11" s="14" t="inlineStr">
        <is>
          <t>☐ 未完成</t>
        </is>
      </c>
    </row>
    <row r="12" ht="20" customHeight="1">
      <c r="C12" s="13" t="inlineStr">
        <is>
          <t>3.专升本英语阅读+翻译专项（45分钟）</t>
        </is>
      </c>
      <c r="D12" s="14" t="inlineStr">
        <is>
          <t>☐ 未完成</t>
        </is>
      </c>
    </row>
    <row r="13" ht="20" customHeight="1">
      <c r="C13" s="17" t="inlineStr">
        <is>
          <t>4.词汇（30分钟）：不背单词APP转专升本词本+高频词</t>
        </is>
      </c>
      <c r="D13" s="14" t="inlineStr">
        <is>
          <t>☐ 未完成</t>
        </is>
      </c>
    </row>
    <row r="14" ht="36" customHeight="1">
      <c r="A14" s="12" t="inlineStr">
        <is>
          <t>2027-02-04</t>
        </is>
      </c>
      <c r="B14" s="8" t="inlineStr">
        <is>
          <t>周四</t>
        </is>
      </c>
      <c r="C14" s="13" t="inlineStr">
        <is>
          <t>1.高等数学（75分钟）：错题回顾+库课18套2道新大题+教材回读（第1-4章）</t>
        </is>
      </c>
      <c r="D14" s="14" t="inlineStr">
        <is>
          <t>☐ 未完成</t>
        </is>
      </c>
      <c r="E14" s="15">
        <f>COUNTIF(D14:D17,"☑ 已完成")/COUNTA(C14:C17)</f>
        <v/>
      </c>
      <c r="F14" s="14" t="n"/>
      <c r="G14" s="16" t="inlineStr"/>
    </row>
    <row r="15" ht="36" customHeight="1">
      <c r="C15" s="18" t="inlineStr">
        <is>
          <t>2.专升本英语（90分钟）：库课2000题专项综合约15题巩固+锐树网课二刷回看</t>
        </is>
      </c>
      <c r="D15" s="14" t="inlineStr">
        <is>
          <t>☐ 未完成</t>
        </is>
      </c>
    </row>
    <row r="16" ht="20" customHeight="1">
      <c r="C16" s="13" t="inlineStr">
        <is>
          <t>3.专升本英语完形+写作专项（45分钟）</t>
        </is>
      </c>
      <c r="D16" s="14" t="inlineStr">
        <is>
          <t>☐ 未完成</t>
        </is>
      </c>
    </row>
    <row r="17" ht="20" customHeight="1">
      <c r="C17" s="17" t="inlineStr">
        <is>
          <t>4.词汇（30分钟）：不背单词APP转专升本词本+高频词</t>
        </is>
      </c>
      <c r="D17" s="14" t="inlineStr">
        <is>
          <t>☐ 未完成</t>
        </is>
      </c>
    </row>
    <row r="18" ht="36" customHeight="1">
      <c r="A18" s="12" t="inlineStr">
        <is>
          <t>2027-02-05</t>
        </is>
      </c>
      <c r="B18" s="8" t="inlineStr">
        <is>
          <t>周五</t>
        </is>
      </c>
      <c r="C18" s="18" t="inlineStr">
        <is>
          <t>【节假日·约2小时】1.词汇：不背单词APP转专升本词本+高频词（不变）</t>
        </is>
      </c>
      <c r="D18" s="14" t="inlineStr">
        <is>
          <t>☐ 未完成</t>
        </is>
      </c>
      <c r="E18" s="15">
        <f>COUNTIF(D18:D20,"☑ 已完成")/COUNTA(C18:C20)</f>
        <v/>
      </c>
      <c r="F18" s="14" t="n"/>
      <c r="G18" s="16" t="inlineStr">
        <is>
          <t>节假日·减半(约2小时)</t>
        </is>
      </c>
    </row>
    <row r="19" ht="20" customHeight="1">
      <c r="C19" s="18" t="inlineStr">
        <is>
          <t>2.高等数学：只复习本周错题40分钟</t>
        </is>
      </c>
      <c r="D19" s="14" t="inlineStr">
        <is>
          <t>☐ 未完成</t>
        </is>
      </c>
    </row>
    <row r="20" ht="20" customHeight="1">
      <c r="C20" s="18" t="inlineStr">
        <is>
          <t>3.专升本英语：库课2000题错题回顾30分钟</t>
        </is>
      </c>
      <c r="D20" s="14" t="inlineStr">
        <is>
          <t>☐ 未完成</t>
        </is>
      </c>
    </row>
    <row r="21" ht="36" customHeight="1">
      <c r="A21" s="12" t="inlineStr">
        <is>
          <t>2027-02-06</t>
        </is>
      </c>
      <c r="B21" s="8" t="inlineStr">
        <is>
          <t>周六</t>
        </is>
      </c>
      <c r="C21" s="18" t="inlineStr">
        <is>
          <t>【节假日·约2小时】1.词汇：不背单词APP转专升本词本+高频词（不变）</t>
        </is>
      </c>
      <c r="D21" s="14" t="inlineStr">
        <is>
          <t>☐ 未完成</t>
        </is>
      </c>
      <c r="E21" s="15">
        <f>COUNTIF(D21:D23,"☑ 已完成")/COUNTA(C21:C23)</f>
        <v/>
      </c>
      <c r="F21" s="14" t="n"/>
      <c r="G21" s="16" t="inlineStr">
        <is>
          <t>节假日·减半(约2小时)</t>
        </is>
      </c>
    </row>
    <row r="22" ht="20" customHeight="1">
      <c r="C22" s="18" t="inlineStr">
        <is>
          <t>2.高等数学：只复习本周错题40分钟</t>
        </is>
      </c>
      <c r="D22" s="14" t="inlineStr">
        <is>
          <t>☐ 未完成</t>
        </is>
      </c>
    </row>
    <row r="23" ht="20" customHeight="1">
      <c r="C23" s="18" t="inlineStr">
        <is>
          <t>3.专升本英语：库课2000题错题回顾30分钟</t>
        </is>
      </c>
      <c r="D23" s="14" t="inlineStr">
        <is>
          <t>☐ 未完成</t>
        </is>
      </c>
    </row>
    <row r="24" ht="36" customHeight="1">
      <c r="A24" s="12" t="inlineStr">
        <is>
          <t>2027-02-07</t>
        </is>
      </c>
      <c r="B24" s="8" t="inlineStr">
        <is>
          <t>周日</t>
        </is>
      </c>
      <c r="C24" s="18" t="inlineStr">
        <is>
          <t>【节假日·约2小时】1.词汇：不背单词APP转专升本词本+高频词（不变）</t>
        </is>
      </c>
      <c r="D24" s="14" t="inlineStr">
        <is>
          <t>☐ 未完成</t>
        </is>
      </c>
      <c r="E24" s="15">
        <f>COUNTIF(D24:D26,"☑ 已完成")/COUNTA(C24:C26)</f>
        <v/>
      </c>
      <c r="F24" s="14" t="n"/>
      <c r="G24" s="16" t="inlineStr">
        <is>
          <t>节假日·减半(约2小时)</t>
        </is>
      </c>
    </row>
    <row r="25" ht="20" customHeight="1">
      <c r="C25" s="18" t="inlineStr">
        <is>
          <t>2.高等数学：只复习本周错题40分钟</t>
        </is>
      </c>
      <c r="D25" s="14" t="inlineStr">
        <is>
          <t>☐ 未完成</t>
        </is>
      </c>
    </row>
    <row r="26" ht="20" customHeight="1">
      <c r="C26" s="18" t="inlineStr">
        <is>
          <t>3.专升本英语：库课2000题错题回顾30分钟</t>
        </is>
      </c>
      <c r="D26" s="14" t="inlineStr">
        <is>
          <t>☐ 未完成</t>
        </is>
      </c>
    </row>
    <row r="27" ht="36" customHeight="1">
      <c r="A27" s="12" t="inlineStr">
        <is>
          <t>2027-02-08</t>
        </is>
      </c>
      <c r="B27" s="8" t="inlineStr">
        <is>
          <t>周一</t>
        </is>
      </c>
      <c r="C27" s="18" t="inlineStr">
        <is>
          <t>【节假日·约2小时】1.词汇：不背单词APP转专升本词本+高频词（不变）</t>
        </is>
      </c>
      <c r="D27" s="14" t="inlineStr">
        <is>
          <t>☐ 未完成</t>
        </is>
      </c>
      <c r="E27" s="15">
        <f>COUNTIF(D27:D29,"☑ 已完成")/COUNTA(C27:C29)</f>
        <v/>
      </c>
      <c r="F27" s="14" t="n"/>
      <c r="G27" s="16" t="inlineStr">
        <is>
          <t>节假日·减半(约2小时)</t>
        </is>
      </c>
    </row>
    <row r="28" ht="20" customHeight="1">
      <c r="C28" s="18" t="inlineStr">
        <is>
          <t>2.高等数学：只复习本周错题40分钟</t>
        </is>
      </c>
      <c r="D28" s="14" t="inlineStr">
        <is>
          <t>☐ 未完成</t>
        </is>
      </c>
    </row>
    <row r="29" ht="20" customHeight="1">
      <c r="C29" s="18" t="inlineStr">
        <is>
          <t>3.专升本英语：库课2000题错题回顾30分钟</t>
        </is>
      </c>
      <c r="D29" s="14" t="inlineStr">
        <is>
          <t>☐ 未完成</t>
        </is>
      </c>
    </row>
    <row r="30" ht="36" customHeight="1">
      <c r="A30" s="12" t="inlineStr">
        <is>
          <t>2027-02-09</t>
        </is>
      </c>
      <c r="B30" s="8" t="inlineStr">
        <is>
          <t>周二</t>
        </is>
      </c>
      <c r="C30" s="18" t="inlineStr">
        <is>
          <t>【节假日·约2小时】1.词汇：不背单词APP转专升本词本+高频词（不变）</t>
        </is>
      </c>
      <c r="D30" s="14" t="inlineStr">
        <is>
          <t>☐ 未完成</t>
        </is>
      </c>
      <c r="E30" s="15">
        <f>COUNTIF(D30:D32,"☑ 已完成")/COUNTA(C30:C32)</f>
        <v/>
      </c>
      <c r="F30" s="14" t="n"/>
      <c r="G30" s="16" t="inlineStr">
        <is>
          <t>节假日·减半(约2小时)</t>
        </is>
      </c>
    </row>
    <row r="31" ht="20" customHeight="1">
      <c r="C31" s="18" t="inlineStr">
        <is>
          <t>2.高等数学：只复习本周错题40分钟</t>
        </is>
      </c>
      <c r="D31" s="14" t="inlineStr">
        <is>
          <t>☐ 未完成</t>
        </is>
      </c>
    </row>
    <row r="32" ht="20" customHeight="1">
      <c r="C32" s="18" t="inlineStr">
        <is>
          <t>3.专升本英语：库课2000题错题回顾30分钟</t>
        </is>
      </c>
      <c r="D32" s="14" t="inlineStr">
        <is>
          <t>☐ 未完成</t>
        </is>
      </c>
    </row>
    <row r="33" ht="36" customHeight="1">
      <c r="A33" s="12" t="inlineStr">
        <is>
          <t>2027-02-10</t>
        </is>
      </c>
      <c r="B33" s="8" t="inlineStr">
        <is>
          <t>周三</t>
        </is>
      </c>
      <c r="C33" s="18" t="inlineStr">
        <is>
          <t>【节假日·约2小时】1.词汇：不背单词APP转专升本词本+高频词（不变）</t>
        </is>
      </c>
      <c r="D33" s="14" t="inlineStr">
        <is>
          <t>☐ 未完成</t>
        </is>
      </c>
      <c r="E33" s="15">
        <f>COUNTIF(D33:D35,"☑ 已完成")/COUNTA(C33:C35)</f>
        <v/>
      </c>
      <c r="F33" s="14" t="n"/>
      <c r="G33" s="16" t="inlineStr">
        <is>
          <t>节假日·减半(约2小时)</t>
        </is>
      </c>
    </row>
    <row r="34" ht="20" customHeight="1">
      <c r="C34" s="18" t="inlineStr">
        <is>
          <t>2.高等数学：只复习本周错题40分钟</t>
        </is>
      </c>
      <c r="D34" s="14" t="inlineStr">
        <is>
          <t>☐ 未完成</t>
        </is>
      </c>
    </row>
    <row r="35" ht="20" customHeight="1">
      <c r="C35" s="18" t="inlineStr">
        <is>
          <t>3.专升本英语：库课2000题错题回顾30分钟</t>
        </is>
      </c>
      <c r="D35" s="14" t="inlineStr">
        <is>
          <t>☐ 未完成</t>
        </is>
      </c>
    </row>
    <row r="36" ht="36" customHeight="1">
      <c r="A36" s="12" t="inlineStr">
        <is>
          <t>2027-02-11</t>
        </is>
      </c>
      <c r="B36" s="8" t="inlineStr">
        <is>
          <t>周四</t>
        </is>
      </c>
      <c r="C36" s="18" t="inlineStr">
        <is>
          <t>【节假日·约2小时】1.词汇：不背单词APP转专升本词本+高频词（不变）</t>
        </is>
      </c>
      <c r="D36" s="14" t="inlineStr">
        <is>
          <t>☐ 未完成</t>
        </is>
      </c>
      <c r="E36" s="15">
        <f>COUNTIF(D36:D38,"☑ 已完成")/COUNTA(C36:C38)</f>
        <v/>
      </c>
      <c r="F36" s="14" t="n"/>
      <c r="G36" s="16" t="inlineStr">
        <is>
          <t>节假日·减半(约2小时)</t>
        </is>
      </c>
    </row>
    <row r="37" ht="20" customHeight="1">
      <c r="C37" s="18" t="inlineStr">
        <is>
          <t>2.高等数学：只复习本周错题40分钟</t>
        </is>
      </c>
      <c r="D37" s="14" t="inlineStr">
        <is>
          <t>☐ 未完成</t>
        </is>
      </c>
    </row>
    <row r="38" ht="20" customHeight="1">
      <c r="C38" s="18" t="inlineStr">
        <is>
          <t>3.专升本英语：库课2000题错题回顾30分钟</t>
        </is>
      </c>
      <c r="D38" s="14" t="inlineStr">
        <is>
          <t>☐ 未完成</t>
        </is>
      </c>
    </row>
    <row r="39" ht="36" customHeight="1">
      <c r="A39" s="12" t="inlineStr">
        <is>
          <t>2027-02-12</t>
        </is>
      </c>
      <c r="B39" s="8" t="inlineStr">
        <is>
          <t>周五</t>
        </is>
      </c>
      <c r="C39" s="13" t="inlineStr">
        <is>
          <t>1.高等数学（90分钟）：同济库课18套第4–9套+高数教材二刷(第1–4章)+库课18套2题（教材二刷·第1-4章）</t>
        </is>
      </c>
      <c r="D39" s="14" t="inlineStr">
        <is>
          <t>☐ 未完成</t>
        </is>
      </c>
      <c r="E39" s="15">
        <f>COUNTIF(D39:D42,"☑ 已完成")/COUNTA(C39:C42)</f>
        <v/>
      </c>
      <c r="F39" s="14" t="n"/>
      <c r="G39" s="16" t="inlineStr"/>
    </row>
    <row r="40" ht="52" customHeight="1">
      <c r="C40" s="13" t="inlineStr">
        <is>
          <t>2.专升本英语（75分钟）：锐树网课《朱老师版·句子类型＋句子成分＋宾语从句＋章节练习·句子类型2+成分1+宾语从句26题》二刷+库课2000题专项综合练习</t>
        </is>
      </c>
      <c r="D40" s="14" t="inlineStr">
        <is>
          <t>☐ 未完成</t>
        </is>
      </c>
    </row>
    <row r="41" ht="20" customHeight="1">
      <c r="C41" s="13" t="inlineStr">
        <is>
          <t>3.专升本英语阅读+翻译专项（45分钟）</t>
        </is>
      </c>
      <c r="D41" s="14" t="inlineStr">
        <is>
          <t>☐ 未完成</t>
        </is>
      </c>
    </row>
    <row r="42" ht="20" customHeight="1">
      <c r="C42" s="17" t="inlineStr">
        <is>
          <t>4.词汇（30分钟）：不背单词APP转专升本词本+高频词</t>
        </is>
      </c>
      <c r="D42" s="14" t="inlineStr">
        <is>
          <t>☐ 未完成</t>
        </is>
      </c>
    </row>
    <row r="43" ht="36" customHeight="1">
      <c r="A43" s="12" t="inlineStr">
        <is>
          <t>2027-02-13</t>
        </is>
      </c>
      <c r="B43" s="8" t="inlineStr">
        <is>
          <t>周六</t>
        </is>
      </c>
      <c r="C43" s="13" t="inlineStr">
        <is>
          <t>1.高等数学（75分钟）：错题回顾+库课18套2道新大题+教材回读（第1-4章）</t>
        </is>
      </c>
      <c r="D43" s="14" t="inlineStr">
        <is>
          <t>☐ 未完成</t>
        </is>
      </c>
      <c r="E43" s="15">
        <f>COUNTIF(D43:D46,"☑ 已完成")/COUNTA(C43:C46)</f>
        <v/>
      </c>
      <c r="F43" s="14" t="n"/>
      <c r="G43" s="16" t="inlineStr"/>
    </row>
    <row r="44" ht="36" customHeight="1">
      <c r="C44" s="18" t="inlineStr">
        <is>
          <t>2.专升本英语（90分钟）：库课2000题专项综合约15题巩固+锐树网课二刷回看</t>
        </is>
      </c>
      <c r="D44" s="14" t="inlineStr">
        <is>
          <t>☐ 未完成</t>
        </is>
      </c>
    </row>
    <row r="45" ht="20" customHeight="1">
      <c r="C45" s="13" t="inlineStr">
        <is>
          <t>3.专升本英语完形+写作专项（45分钟）</t>
        </is>
      </c>
      <c r="D45" s="14" t="inlineStr">
        <is>
          <t>☐ 未完成</t>
        </is>
      </c>
    </row>
    <row r="46" ht="20" customHeight="1">
      <c r="C46" s="17" t="inlineStr">
        <is>
          <t>4.词汇（30分钟）：不背单词APP转专升本词本+高频词</t>
        </is>
      </c>
      <c r="D46" s="14" t="inlineStr">
        <is>
          <t>☐ 未完成</t>
        </is>
      </c>
    </row>
    <row r="47" ht="20" customHeight="1">
      <c r="A47" s="12" t="inlineStr">
        <is>
          <t>2027-02-14</t>
        </is>
      </c>
      <c r="B47" s="8" t="inlineStr">
        <is>
          <t>周日</t>
        </is>
      </c>
      <c r="C47" s="13" t="inlineStr">
        <is>
          <t>1.专升本英语模考：2022年真题（约2小时）</t>
        </is>
      </c>
      <c r="D47" s="14" t="inlineStr">
        <is>
          <t>☐ 未完成</t>
        </is>
      </c>
      <c r="E47" s="15">
        <f>COUNTIF(D47:D48,"☑ 已完成")/COUNTA(C47:C48)</f>
        <v/>
      </c>
      <c r="F47" s="14" t="n"/>
      <c r="G47" s="16" t="inlineStr">
        <is>
          <t>模考日</t>
        </is>
      </c>
    </row>
    <row r="48" ht="20" customHeight="1">
      <c r="C48" s="18" t="inlineStr">
        <is>
          <t>2.错题归因+周复盘</t>
        </is>
      </c>
      <c r="D48" s="14" t="inlineStr">
        <is>
          <t>☐ 未完成</t>
        </is>
      </c>
    </row>
    <row r="49" ht="36" customHeight="1">
      <c r="A49" s="12" t="inlineStr">
        <is>
          <t>2027-02-15</t>
        </is>
      </c>
      <c r="B49" s="8" t="inlineStr">
        <is>
          <t>周一</t>
        </is>
      </c>
      <c r="C49" s="13" t="inlineStr">
        <is>
          <t>1.高等数学（90分钟）：同济库课18套第4–9套+高数教材二刷(第1–4章)+库课18套2题（教材二刷·第1-4章）</t>
        </is>
      </c>
      <c r="D49" s="14" t="inlineStr">
        <is>
          <t>☐ 未完成</t>
        </is>
      </c>
      <c r="E49" s="15">
        <f>COUNTIF(D49:D52,"☑ 已完成")/COUNTA(C49:C52)</f>
        <v/>
      </c>
      <c r="F49" s="14" t="n"/>
      <c r="G49" s="16" t="inlineStr"/>
    </row>
    <row r="50" ht="52" customHeight="1">
      <c r="C50" s="13" t="inlineStr">
        <is>
          <t>2.专升本英语（75分钟）：锐树网课《朱老师版·句子类型＋句子成分＋宾语从句＋章节练习·句子类型2+成分1+宾语从句26题》二刷+库课2000题专项综合练习</t>
        </is>
      </c>
      <c r="D50" s="14" t="inlineStr">
        <is>
          <t>☐ 未完成</t>
        </is>
      </c>
    </row>
    <row r="51" ht="20" customHeight="1">
      <c r="C51" s="13" t="inlineStr">
        <is>
          <t>3.专升本英语阅读+翻译专项（45分钟）</t>
        </is>
      </c>
      <c r="D51" s="14" t="inlineStr">
        <is>
          <t>☐ 未完成</t>
        </is>
      </c>
    </row>
    <row r="52" ht="20" customHeight="1">
      <c r="C52" s="17" t="inlineStr">
        <is>
          <t>4.词汇（30分钟）：不背单词APP转专升本词本+高频词</t>
        </is>
      </c>
      <c r="D52" s="14" t="inlineStr">
        <is>
          <t>☐ 未完成</t>
        </is>
      </c>
    </row>
    <row r="53" ht="36" customHeight="1">
      <c r="A53" s="12" t="inlineStr">
        <is>
          <t>2027-02-16</t>
        </is>
      </c>
      <c r="B53" s="8" t="inlineStr">
        <is>
          <t>周二</t>
        </is>
      </c>
      <c r="C53" s="13" t="inlineStr">
        <is>
          <t>1.高等数学（75分钟）：错题回顾+库课18套2道新大题+教材回读（第1-4章）</t>
        </is>
      </c>
      <c r="D53" s="14" t="inlineStr">
        <is>
          <t>☐ 未完成</t>
        </is>
      </c>
      <c r="E53" s="15">
        <f>COUNTIF(D53:D56,"☑ 已完成")/COUNTA(C53:C56)</f>
        <v/>
      </c>
      <c r="F53" s="14" t="n"/>
      <c r="G53" s="16" t="inlineStr"/>
    </row>
    <row r="54" ht="36" customHeight="1">
      <c r="C54" s="18" t="inlineStr">
        <is>
          <t>2.专升本英语（90分钟）：库课2000题专项综合约15题巩固+锐树网课二刷回看</t>
        </is>
      </c>
      <c r="D54" s="14" t="inlineStr">
        <is>
          <t>☐ 未完成</t>
        </is>
      </c>
    </row>
    <row r="55" ht="20" customHeight="1">
      <c r="C55" s="13" t="inlineStr">
        <is>
          <t>3.专升本英语完形+写作专项（45分钟）</t>
        </is>
      </c>
      <c r="D55" s="14" t="inlineStr">
        <is>
          <t>☐ 未完成</t>
        </is>
      </c>
    </row>
    <row r="56" ht="20" customHeight="1">
      <c r="C56" s="17" t="inlineStr">
        <is>
          <t>4.词汇（30分钟）：不背单词APP转专升本词本+高频词</t>
        </is>
      </c>
      <c r="D56" s="14" t="inlineStr">
        <is>
          <t>☐ 未完成</t>
        </is>
      </c>
    </row>
    <row r="57" ht="36" customHeight="1">
      <c r="A57" s="12" t="inlineStr">
        <is>
          <t>2027-02-17</t>
        </is>
      </c>
      <c r="B57" s="8" t="inlineStr">
        <is>
          <t>周三</t>
        </is>
      </c>
      <c r="C57" s="13" t="inlineStr">
        <is>
          <t>1.高等数学（90分钟）：同济库课18套第4–9套+高数教材二刷(第1–4章)+库课18套2题（教材二刷·第1-4章）</t>
        </is>
      </c>
      <c r="D57" s="14" t="inlineStr">
        <is>
          <t>☐ 未完成</t>
        </is>
      </c>
      <c r="E57" s="15">
        <f>COUNTIF(D57:D60,"☑ 已完成")/COUNTA(C57:C60)</f>
        <v/>
      </c>
      <c r="F57" s="14" t="n"/>
      <c r="G57" s="16" t="inlineStr"/>
    </row>
    <row r="58" ht="52" customHeight="1">
      <c r="C58" s="13" t="inlineStr">
        <is>
          <t>2.专升本英语（75分钟）：锐树网课《朱老师版·句子类型＋句子成分＋宾语从句＋章节练习·句子类型2+成分1+宾语从句26题》二刷+库课2000题专项综合练习</t>
        </is>
      </c>
      <c r="D58" s="14" t="inlineStr">
        <is>
          <t>☐ 未完成</t>
        </is>
      </c>
    </row>
    <row r="59" ht="20" customHeight="1">
      <c r="C59" s="13" t="inlineStr">
        <is>
          <t>3.专升本英语阅读+翻译专项（45分钟）</t>
        </is>
      </c>
      <c r="D59" s="14" t="inlineStr">
        <is>
          <t>☐ 未完成</t>
        </is>
      </c>
    </row>
    <row r="60" ht="20" customHeight="1">
      <c r="C60" s="17" t="inlineStr">
        <is>
          <t>4.词汇（30分钟）：不背单词APP转专升本词本+高频词</t>
        </is>
      </c>
      <c r="D60" s="14" t="inlineStr">
        <is>
          <t>☐ 未完成</t>
        </is>
      </c>
    </row>
    <row r="61" ht="36" customHeight="1">
      <c r="A61" s="12" t="inlineStr">
        <is>
          <t>2027-02-18</t>
        </is>
      </c>
      <c r="B61" s="8" t="inlineStr">
        <is>
          <t>周四</t>
        </is>
      </c>
      <c r="C61" s="13" t="inlineStr">
        <is>
          <t>1.高等数学（75分钟）：错题回顾+库课18套2道新大题+教材回读（第1-4章）</t>
        </is>
      </c>
      <c r="D61" s="14" t="inlineStr">
        <is>
          <t>☐ 未完成</t>
        </is>
      </c>
      <c r="E61" s="15">
        <f>COUNTIF(D61:D64,"☑ 已完成")/COUNTA(C61:C64)</f>
        <v/>
      </c>
      <c r="F61" s="14" t="n"/>
      <c r="G61" s="16" t="inlineStr"/>
    </row>
    <row r="62" ht="36" customHeight="1">
      <c r="C62" s="18" t="inlineStr">
        <is>
          <t>2.专升本英语（90分钟）：库课2000题专项综合约15题巩固+锐树网课二刷回看</t>
        </is>
      </c>
      <c r="D62" s="14" t="inlineStr">
        <is>
          <t>☐ 未完成</t>
        </is>
      </c>
    </row>
    <row r="63" ht="20" customHeight="1">
      <c r="C63" s="13" t="inlineStr">
        <is>
          <t>3.专升本英语完形+写作专项（45分钟）</t>
        </is>
      </c>
      <c r="D63" s="14" t="inlineStr">
        <is>
          <t>☐ 未完成</t>
        </is>
      </c>
    </row>
    <row r="64" ht="20" customHeight="1">
      <c r="C64" s="17" t="inlineStr">
        <is>
          <t>4.词汇（30分钟）：不背单词APP转专升本词本+高频词</t>
        </is>
      </c>
      <c r="D64" s="14" t="inlineStr">
        <is>
          <t>☐ 未完成</t>
        </is>
      </c>
    </row>
    <row r="65" ht="36" customHeight="1">
      <c r="A65" s="12" t="inlineStr">
        <is>
          <t>2027-02-19</t>
        </is>
      </c>
      <c r="B65" s="8" t="inlineStr">
        <is>
          <t>周五</t>
        </is>
      </c>
      <c r="C65" s="13" t="inlineStr">
        <is>
          <t>1.高等数学（90分钟）：同济库课18套第10–12套+高数教材二刷(第5–6章)+库课18套2题（教材二刷·第5-6章）</t>
        </is>
      </c>
      <c r="D65" s="14" t="inlineStr">
        <is>
          <t>☐ 未完成</t>
        </is>
      </c>
      <c r="E65" s="15">
        <f>COUNTIF(D65:D68,"☑ 已完成")/COUNTA(C65:C68)</f>
        <v/>
      </c>
      <c r="F65" s="14" t="n"/>
      <c r="G65" s="16" t="inlineStr"/>
    </row>
    <row r="66" ht="52" customHeight="1">
      <c r="C66" s="13" t="inlineStr">
        <is>
          <t>2.专升本英语（75分钟）：锐树网课《朱老师版·定语从句(一)(二)＋非谓语动词＋章节练习·定语从句20+非谓语24题》二刷+库课2000题专项综合练习</t>
        </is>
      </c>
      <c r="D66" s="14" t="inlineStr">
        <is>
          <t>☐ 未完成</t>
        </is>
      </c>
    </row>
    <row r="67" ht="20" customHeight="1">
      <c r="C67" s="13" t="inlineStr">
        <is>
          <t>3.专升本英语阅读+翻译专项（45分钟）</t>
        </is>
      </c>
      <c r="D67" s="14" t="inlineStr">
        <is>
          <t>☐ 未完成</t>
        </is>
      </c>
    </row>
    <row r="68" ht="20" customHeight="1">
      <c r="C68" s="17" t="inlineStr">
        <is>
          <t>4.词汇（30分钟）：不背单词APP转专升本词本+高频词</t>
        </is>
      </c>
      <c r="D68" s="14" t="inlineStr">
        <is>
          <t>☐ 未完成</t>
        </is>
      </c>
    </row>
    <row r="69" ht="36" customHeight="1">
      <c r="A69" s="12" t="inlineStr">
        <is>
          <t>2027-02-20</t>
        </is>
      </c>
      <c r="B69" s="8" t="inlineStr">
        <is>
          <t>周六</t>
        </is>
      </c>
      <c r="C69" s="13" t="inlineStr">
        <is>
          <t>1.高等数学（75分钟）：错题回顾+库课18套2道新大题+教材回读（第5-6章）</t>
        </is>
      </c>
      <c r="D69" s="14" t="inlineStr">
        <is>
          <t>☐ 未完成</t>
        </is>
      </c>
      <c r="E69" s="15">
        <f>COUNTIF(D69:D72,"☑ 已完成")/COUNTA(C69:C72)</f>
        <v/>
      </c>
      <c r="F69" s="14" t="n"/>
      <c r="G69" s="16" t="inlineStr"/>
    </row>
    <row r="70" ht="36" customHeight="1">
      <c r="C70" s="18" t="inlineStr">
        <is>
          <t>2.专升本英语（90分钟）：库课2000题专项综合约15题巩固+锐树网课二刷回看</t>
        </is>
      </c>
      <c r="D70" s="14" t="inlineStr">
        <is>
          <t>☐ 未完成</t>
        </is>
      </c>
    </row>
    <row r="71" ht="20" customHeight="1">
      <c r="C71" s="13" t="inlineStr">
        <is>
          <t>3.专升本英语完形+写作专项（45分钟）</t>
        </is>
      </c>
      <c r="D71" s="14" t="inlineStr">
        <is>
          <t>☐ 未完成</t>
        </is>
      </c>
    </row>
    <row r="72" ht="20" customHeight="1">
      <c r="C72" s="17" t="inlineStr">
        <is>
          <t>4.词汇（30分钟）：不背单词APP转专升本词本+高频词</t>
        </is>
      </c>
      <c r="D72" s="14" t="inlineStr">
        <is>
          <t>☐ 未完成</t>
        </is>
      </c>
    </row>
    <row r="73" ht="20" customHeight="1">
      <c r="A73" s="12" t="inlineStr">
        <is>
          <t>2027-02-21</t>
        </is>
      </c>
      <c r="B73" s="8" t="inlineStr">
        <is>
          <t>周日</t>
        </is>
      </c>
      <c r="C73" s="13" t="inlineStr">
        <is>
          <t>1.专升本数学模考：库课18套完整卷第8套2小时估分</t>
        </is>
      </c>
      <c r="D73" s="14" t="inlineStr">
        <is>
          <t>☐ 未完成</t>
        </is>
      </c>
      <c r="E73" s="15">
        <f>COUNTIF(D73:D74,"☑ 已完成")/COUNTA(C73:C74)</f>
        <v/>
      </c>
      <c r="F73" s="14" t="n"/>
      <c r="G73" s="16" t="inlineStr">
        <is>
          <t>模考日</t>
        </is>
      </c>
    </row>
    <row r="74" ht="20" customHeight="1">
      <c r="C74" s="18" t="inlineStr">
        <is>
          <t>2.错题归因+周复盘</t>
        </is>
      </c>
      <c r="D74" s="14" t="inlineStr">
        <is>
          <t>☐ 未完成</t>
        </is>
      </c>
    </row>
    <row r="75" ht="36" customHeight="1">
      <c r="A75" s="12" t="inlineStr">
        <is>
          <t>2027-02-22</t>
        </is>
      </c>
      <c r="B75" s="8" t="inlineStr">
        <is>
          <t>周一</t>
        </is>
      </c>
      <c r="C75" s="13" t="inlineStr">
        <is>
          <t>1.高等数学（90分钟）：同济库课18套第10–12套+高数教材二刷(第5–6章)+库课18套2题（教材二刷·第5-6章）</t>
        </is>
      </c>
      <c r="D75" s="14" t="inlineStr">
        <is>
          <t>☐ 未完成</t>
        </is>
      </c>
      <c r="E75" s="15">
        <f>COUNTIF(D75:D78,"☑ 已完成")/COUNTA(C75:C78)</f>
        <v/>
      </c>
      <c r="F75" s="14" t="n"/>
      <c r="G75" s="16" t="inlineStr"/>
    </row>
    <row r="76" ht="52" customHeight="1">
      <c r="C76" s="13" t="inlineStr">
        <is>
          <t>2.专升本英语（75分钟）：锐树网课《朱老师版·定语从句(一)(二)＋非谓语动词＋章节练习·定语从句20+非谓语24题》二刷+库课2000题专项综合练习</t>
        </is>
      </c>
      <c r="D76" s="14" t="inlineStr">
        <is>
          <t>☐ 未完成</t>
        </is>
      </c>
    </row>
    <row r="77" ht="20" customHeight="1">
      <c r="C77" s="13" t="inlineStr">
        <is>
          <t>3.专升本英语阅读+翻译专项（45分钟）</t>
        </is>
      </c>
      <c r="D77" s="14" t="inlineStr">
        <is>
          <t>☐ 未完成</t>
        </is>
      </c>
    </row>
    <row r="78" ht="20" customHeight="1">
      <c r="C78" s="17" t="inlineStr">
        <is>
          <t>4.词汇（30分钟）：不背单词APP转专升本词本+高频词</t>
        </is>
      </c>
      <c r="D78" s="14" t="inlineStr">
        <is>
          <t>☐ 未完成</t>
        </is>
      </c>
    </row>
    <row r="79" ht="36" customHeight="1">
      <c r="A79" s="12" t="inlineStr">
        <is>
          <t>2027-02-23</t>
        </is>
      </c>
      <c r="B79" s="8" t="inlineStr">
        <is>
          <t>周二</t>
        </is>
      </c>
      <c r="C79" s="13" t="inlineStr">
        <is>
          <t>1.高等数学（75分钟）：错题回顾+库课18套2道新大题+教材回读（第5-6章）</t>
        </is>
      </c>
      <c r="D79" s="14" t="inlineStr">
        <is>
          <t>☐ 未完成</t>
        </is>
      </c>
      <c r="E79" s="15">
        <f>COUNTIF(D79:D82,"☑ 已完成")/COUNTA(C79:C82)</f>
        <v/>
      </c>
      <c r="F79" s="14" t="n"/>
      <c r="G79" s="16" t="inlineStr"/>
    </row>
    <row r="80" ht="36" customHeight="1">
      <c r="C80" s="18" t="inlineStr">
        <is>
          <t>2.专升本英语（90分钟）：库课2000题专项综合约15题巩固+锐树网课二刷回看</t>
        </is>
      </c>
      <c r="D80" s="14" t="inlineStr">
        <is>
          <t>☐ 未完成</t>
        </is>
      </c>
    </row>
    <row r="81" ht="20" customHeight="1">
      <c r="C81" s="13" t="inlineStr">
        <is>
          <t>3.专升本英语完形+写作专项（45分钟）</t>
        </is>
      </c>
      <c r="D81" s="14" t="inlineStr">
        <is>
          <t>☐ 未完成</t>
        </is>
      </c>
    </row>
    <row r="82" ht="20" customHeight="1">
      <c r="C82" s="17" t="inlineStr">
        <is>
          <t>4.词汇（30分钟）：不背单词APP转专升本词本+高频词</t>
        </is>
      </c>
      <c r="D82" s="14" t="inlineStr">
        <is>
          <t>☐ 未完成</t>
        </is>
      </c>
    </row>
    <row r="83" ht="36" customHeight="1">
      <c r="A83" s="12" t="inlineStr">
        <is>
          <t>2027-02-24</t>
        </is>
      </c>
      <c r="B83" s="8" t="inlineStr">
        <is>
          <t>周三</t>
        </is>
      </c>
      <c r="C83" s="13" t="inlineStr">
        <is>
          <t>1.高等数学（90分钟）：同济库课18套第10–12套+高数教材二刷(第5–6章)+库课18套2题（教材二刷·第5-6章）</t>
        </is>
      </c>
      <c r="D83" s="14" t="inlineStr">
        <is>
          <t>☐ 未完成</t>
        </is>
      </c>
      <c r="E83" s="15">
        <f>COUNTIF(D83:D86,"☑ 已完成")/COUNTA(C83:C86)</f>
        <v/>
      </c>
      <c r="F83" s="14" t="n"/>
      <c r="G83" s="16" t="inlineStr"/>
    </row>
    <row r="84" ht="52" customHeight="1">
      <c r="C84" s="13" t="inlineStr">
        <is>
          <t>2.专升本英语（75分钟）：锐树网课《朱老师版·定语从句(一)(二)＋非谓语动词＋章节练习·定语从句20+非谓语24题》二刷+库课2000题专项综合练习</t>
        </is>
      </c>
      <c r="D84" s="14" t="inlineStr">
        <is>
          <t>☐ 未完成</t>
        </is>
      </c>
    </row>
    <row r="85" ht="20" customHeight="1">
      <c r="C85" s="13" t="inlineStr">
        <is>
          <t>3.专升本英语阅读+翻译专项（45分钟）</t>
        </is>
      </c>
      <c r="D85" s="14" t="inlineStr">
        <is>
          <t>☐ 未完成</t>
        </is>
      </c>
    </row>
    <row r="86" ht="20" customHeight="1">
      <c r="C86" s="17" t="inlineStr">
        <is>
          <t>4.词汇（30分钟）：不背单词APP转专升本词本+高频词</t>
        </is>
      </c>
      <c r="D86" s="14" t="inlineStr">
        <is>
          <t>☐ 未完成</t>
        </is>
      </c>
    </row>
    <row r="87" ht="36" customHeight="1">
      <c r="A87" s="12" t="inlineStr">
        <is>
          <t>2027-02-25</t>
        </is>
      </c>
      <c r="B87" s="8" t="inlineStr">
        <is>
          <t>周四</t>
        </is>
      </c>
      <c r="C87" s="13" t="inlineStr">
        <is>
          <t>1.高等数学（75分钟）：错题回顾+库课18套2道新大题+教材回读（第5-6章）</t>
        </is>
      </c>
      <c r="D87" s="14" t="inlineStr">
        <is>
          <t>☐ 未完成</t>
        </is>
      </c>
      <c r="E87" s="15">
        <f>COUNTIF(D87:D90,"☑ 已完成")/COUNTA(C87:C90)</f>
        <v/>
      </c>
      <c r="F87" s="14" t="n"/>
      <c r="G87" s="16" t="inlineStr"/>
    </row>
    <row r="88" ht="36" customHeight="1">
      <c r="C88" s="18" t="inlineStr">
        <is>
          <t>2.专升本英语（90分钟）：库课2000题专项综合约15题巩固+锐树网课二刷回看</t>
        </is>
      </c>
      <c r="D88" s="14" t="inlineStr">
        <is>
          <t>☐ 未完成</t>
        </is>
      </c>
    </row>
    <row r="89" ht="20" customHeight="1">
      <c r="C89" s="13" t="inlineStr">
        <is>
          <t>3.专升本英语完形+写作专项（45分钟）</t>
        </is>
      </c>
      <c r="D89" s="14" t="inlineStr">
        <is>
          <t>☐ 未完成</t>
        </is>
      </c>
    </row>
    <row r="90" ht="20" customHeight="1">
      <c r="C90" s="17" t="inlineStr">
        <is>
          <t>4.词汇（30分钟）：不背单词APP转专升本词本+高频词</t>
        </is>
      </c>
      <c r="D90" s="14" t="inlineStr">
        <is>
          <t>☐ 未完成</t>
        </is>
      </c>
    </row>
    <row r="91" ht="36" customHeight="1">
      <c r="A91" s="12" t="inlineStr">
        <is>
          <t>2027-02-26</t>
        </is>
      </c>
      <c r="B91" s="8" t="inlineStr">
        <is>
          <t>周五</t>
        </is>
      </c>
      <c r="C91" s="13" t="inlineStr">
        <is>
          <t>1.高等数学（90分钟）：同济库课18套第13–15套+全真模考+库课18套2题（教材二刷·错题）</t>
        </is>
      </c>
      <c r="D91" s="14" t="inlineStr">
        <is>
          <t>☐ 未完成</t>
        </is>
      </c>
      <c r="E91" s="15">
        <f>COUNTIF(D91:D94,"☑ 已完成")/COUNTA(C91:C94)</f>
        <v/>
      </c>
      <c r="F91" s="14" t="n"/>
      <c r="G91" s="16" t="inlineStr"/>
    </row>
    <row r="92" ht="52" customHeight="1">
      <c r="C92" s="13" t="inlineStr">
        <is>
          <t>2.专升本英语（75分钟）：锐树网课《朱老师版·阅读方法＋主旨大意＋推理题＋细节理解(一)(二)＋章节练习·细节理解21题+翻译23题》二刷+库课2000题专项综合练习</t>
        </is>
      </c>
      <c r="D92" s="14" t="inlineStr">
        <is>
          <t>☐ 未完成</t>
        </is>
      </c>
    </row>
    <row r="93" ht="20" customHeight="1">
      <c r="C93" s="13" t="inlineStr">
        <is>
          <t>3.专升本英语阅读+翻译专项（45分钟）</t>
        </is>
      </c>
      <c r="D93" s="14" t="inlineStr">
        <is>
          <t>☐ 未完成</t>
        </is>
      </c>
    </row>
    <row r="94" ht="20" customHeight="1">
      <c r="C94" s="17" t="inlineStr">
        <is>
          <t>4.词汇（30分钟）：不背单词APP转专升本词本+高频词</t>
        </is>
      </c>
      <c r="D94" s="14" t="inlineStr">
        <is>
          <t>☐ 未完成</t>
        </is>
      </c>
    </row>
    <row r="95" ht="36" customHeight="1">
      <c r="A95" s="12" t="inlineStr">
        <is>
          <t>2027-02-27</t>
        </is>
      </c>
      <c r="B95" s="8" t="inlineStr">
        <is>
          <t>周六</t>
        </is>
      </c>
      <c r="C95" s="13" t="inlineStr">
        <is>
          <t>1.高等数学（75分钟）：错题回顾+库课18套2道新大题+教材回读（错题）</t>
        </is>
      </c>
      <c r="D95" s="14" t="inlineStr">
        <is>
          <t>☐ 未完成</t>
        </is>
      </c>
      <c r="E95" s="15">
        <f>COUNTIF(D95:D98,"☑ 已完成")/COUNTA(C95:C98)</f>
        <v/>
      </c>
      <c r="F95" s="14" t="n"/>
      <c r="G95" s="16" t="inlineStr"/>
    </row>
    <row r="96" ht="36" customHeight="1">
      <c r="C96" s="18" t="inlineStr">
        <is>
          <t>2.专升本英语（90分钟）：库课2000题专项综合约15题巩固+锐树网课二刷回看</t>
        </is>
      </c>
      <c r="D96" s="14" t="inlineStr">
        <is>
          <t>☐ 未完成</t>
        </is>
      </c>
    </row>
    <row r="97" ht="20" customHeight="1">
      <c r="C97" s="13" t="inlineStr">
        <is>
          <t>3.专升本英语完形+写作专项（45分钟）</t>
        </is>
      </c>
      <c r="D97" s="14" t="inlineStr">
        <is>
          <t>☐ 未完成</t>
        </is>
      </c>
    </row>
    <row r="98" ht="20" customHeight="1">
      <c r="C98" s="17" t="inlineStr">
        <is>
          <t>4.词汇（30分钟）：不背单词APP转专升本词本+高频词</t>
        </is>
      </c>
      <c r="D98" s="14" t="inlineStr">
        <is>
          <t>☐ 未完成</t>
        </is>
      </c>
    </row>
    <row r="99" ht="20" customHeight="1">
      <c r="A99" s="12" t="inlineStr">
        <is>
          <t>2027-02-28</t>
        </is>
      </c>
      <c r="B99" s="8" t="inlineStr">
        <is>
          <t>周日</t>
        </is>
      </c>
      <c r="C99" s="13" t="inlineStr">
        <is>
          <t>1.专升本英语模考：2023年真题（约2小时）</t>
        </is>
      </c>
      <c r="D99" s="14" t="inlineStr">
        <is>
          <t>☐ 未完成</t>
        </is>
      </c>
      <c r="E99" s="15">
        <f>COUNTIF(D99:D100,"☑ 已完成")/COUNTA(C99:C100)</f>
        <v/>
      </c>
      <c r="F99" s="14" t="n"/>
      <c r="G99" s="16" t="inlineStr">
        <is>
          <t>里程碑·专升本模考≥340</t>
        </is>
      </c>
    </row>
    <row r="100" ht="20" customHeight="1">
      <c r="C100" s="18" t="inlineStr">
        <is>
          <t>2.错题归因+周复盘</t>
        </is>
      </c>
      <c r="D100" s="14" t="inlineStr">
        <is>
          <t>☐ 未完成</t>
        </is>
      </c>
    </row>
    <row r="102">
      <c r="A102" s="19" t="inlineStr">
        <is>
          <t>月度汇总</t>
        </is>
      </c>
    </row>
    <row r="103">
      <c r="A103" s="19" t="inlineStr">
        <is>
          <t>已完成</t>
        </is>
      </c>
      <c r="B103">
        <f>COUNTIF(D2:D100,"☑ 已完成")</f>
        <v/>
      </c>
    </row>
    <row r="104">
      <c r="A104" s="19" t="inlineStr">
        <is>
          <t>未完成</t>
        </is>
      </c>
      <c r="B104">
        <f>COUNTIF(D2:D100,"☐ 未完成")</f>
        <v/>
      </c>
    </row>
    <row r="105">
      <c r="A105" s="19" t="inlineStr">
        <is>
          <t>完成率</t>
        </is>
      </c>
      <c r="B105" s="20">
        <f>COUNTIF(D2:D100,"☑ 已完成")/(COUNTIF(D2:D100,"☑ 已完成")+COUNTIF(D2:D100,"☐ 未完成"))</f>
        <v/>
      </c>
    </row>
  </sheetData>
  <mergeCells count="140">
    <mergeCell ref="A21:A23"/>
    <mergeCell ref="E14:E17"/>
    <mergeCell ref="B75:B78"/>
    <mergeCell ref="A79:A82"/>
    <mergeCell ref="A61:A64"/>
    <mergeCell ref="F69:F72"/>
    <mergeCell ref="E73:E74"/>
    <mergeCell ref="F83:F86"/>
    <mergeCell ref="F99:F100"/>
    <mergeCell ref="E39:E42"/>
    <mergeCell ref="B36:B38"/>
    <mergeCell ref="E79:E82"/>
    <mergeCell ref="B61:B64"/>
    <mergeCell ref="B39:B42"/>
    <mergeCell ref="A65:A68"/>
    <mergeCell ref="A99:A100"/>
    <mergeCell ref="F47:F48"/>
    <mergeCell ref="A24:A26"/>
    <mergeCell ref="E87:E90"/>
    <mergeCell ref="E18:E20"/>
    <mergeCell ref="E65:E68"/>
    <mergeCell ref="G65:G68"/>
    <mergeCell ref="B53:B56"/>
    <mergeCell ref="G83:G86"/>
    <mergeCell ref="B87:B90"/>
    <mergeCell ref="A2:A5"/>
    <mergeCell ref="A91:A94"/>
    <mergeCell ref="B21:B23"/>
    <mergeCell ref="B6:B9"/>
    <mergeCell ref="E2:E5"/>
    <mergeCell ref="A53:A56"/>
    <mergeCell ref="F24:F26"/>
    <mergeCell ref="F73:F74"/>
    <mergeCell ref="B95:B98"/>
    <mergeCell ref="A10:A13"/>
    <mergeCell ref="E57:E60"/>
    <mergeCell ref="F21:F23"/>
    <mergeCell ref="B79:B82"/>
    <mergeCell ref="E75:E78"/>
    <mergeCell ref="A83:A86"/>
    <mergeCell ref="G99:G100"/>
    <mergeCell ref="A39:A42"/>
    <mergeCell ref="A49:A52"/>
    <mergeCell ref="F57:F60"/>
    <mergeCell ref="F10:F13"/>
    <mergeCell ref="E36:E38"/>
    <mergeCell ref="E43:E46"/>
    <mergeCell ref="E30:E32"/>
    <mergeCell ref="G43:G46"/>
    <mergeCell ref="G30:G32"/>
    <mergeCell ref="G61:G64"/>
    <mergeCell ref="G39:G42"/>
    <mergeCell ref="F65:F68"/>
    <mergeCell ref="B33:B35"/>
    <mergeCell ref="A87:A90"/>
    <mergeCell ref="F27:F29"/>
    <mergeCell ref="B2:B5"/>
    <mergeCell ref="B43:B46"/>
    <mergeCell ref="G87:G90"/>
    <mergeCell ref="F2:F5"/>
    <mergeCell ref="E21:E23"/>
    <mergeCell ref="E6:E9"/>
    <mergeCell ref="F91:F94"/>
    <mergeCell ref="G6:G9"/>
    <mergeCell ref="G73:G74"/>
    <mergeCell ref="F75:F78"/>
    <mergeCell ref="B69:B72"/>
    <mergeCell ref="B83:B86"/>
    <mergeCell ref="E24:E26"/>
    <mergeCell ref="F30:F32"/>
    <mergeCell ref="A57:A60"/>
    <mergeCell ref="F14:F17"/>
    <mergeCell ref="E91:E94"/>
    <mergeCell ref="G91:G94"/>
    <mergeCell ref="G33:G35"/>
    <mergeCell ref="A18:A20"/>
    <mergeCell ref="E27:E29"/>
    <mergeCell ref="E83:E86"/>
    <mergeCell ref="A69:A72"/>
    <mergeCell ref="B24:B26"/>
    <mergeCell ref="B73:B74"/>
    <mergeCell ref="A75:A78"/>
    <mergeCell ref="E69:E72"/>
    <mergeCell ref="A6:A9"/>
    <mergeCell ref="G69:G72"/>
    <mergeCell ref="E99:E100"/>
    <mergeCell ref="A95:A98"/>
    <mergeCell ref="G53:G56"/>
    <mergeCell ref="B57:B60"/>
    <mergeCell ref="B10:B13"/>
    <mergeCell ref="A36:A38"/>
    <mergeCell ref="A30:A32"/>
    <mergeCell ref="G14:G17"/>
    <mergeCell ref="G21:G23"/>
    <mergeCell ref="E61:E64"/>
    <mergeCell ref="E95:E98"/>
    <mergeCell ref="G95:G98"/>
    <mergeCell ref="B99:B100"/>
    <mergeCell ref="A14:A17"/>
    <mergeCell ref="B49:B52"/>
    <mergeCell ref="G79:G82"/>
    <mergeCell ref="F36:F38"/>
    <mergeCell ref="F18:F20"/>
    <mergeCell ref="F61:F64"/>
    <mergeCell ref="F39:F42"/>
    <mergeCell ref="A43:A46"/>
    <mergeCell ref="G24:G26"/>
    <mergeCell ref="A27:A29"/>
    <mergeCell ref="G18:G20"/>
    <mergeCell ref="B47:B48"/>
    <mergeCell ref="F53:F56"/>
    <mergeCell ref="F87:F90"/>
    <mergeCell ref="B30:B32"/>
    <mergeCell ref="A33:A35"/>
    <mergeCell ref="G2:G5"/>
    <mergeCell ref="F6:F9"/>
    <mergeCell ref="F95:F98"/>
    <mergeCell ref="E10:E13"/>
    <mergeCell ref="G57:G60"/>
    <mergeCell ref="G10:G13"/>
    <mergeCell ref="B14:B17"/>
    <mergeCell ref="F79:F82"/>
    <mergeCell ref="E33:E35"/>
    <mergeCell ref="G27:G29"/>
    <mergeCell ref="E49:E52"/>
    <mergeCell ref="G36:G38"/>
    <mergeCell ref="G49:G52"/>
    <mergeCell ref="F43:F46"/>
    <mergeCell ref="A47:A48"/>
    <mergeCell ref="B18:B20"/>
    <mergeCell ref="B27:B29"/>
    <mergeCell ref="B65:B68"/>
    <mergeCell ref="G75:G78"/>
    <mergeCell ref="E47:E48"/>
    <mergeCell ref="G47:G48"/>
    <mergeCell ref="A73:A74"/>
    <mergeCell ref="F33:F35"/>
    <mergeCell ref="B91:B94"/>
    <mergeCell ref="F49:F52"/>
    <mergeCell ref="E53:E56"/>
  </mergeCells>
  <dataValidations count="1">
    <dataValidation sqref="D2:D100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2027-03-01</t>
        </is>
      </c>
      <c r="B2" s="8" t="inlineStr">
        <is>
          <t>周一</t>
        </is>
      </c>
      <c r="C2" s="13" t="inlineStr">
        <is>
          <t>1.高等数学（90分钟）：同济库课18套第13–15套+全真模考+库课18套2题（教材二刷·错题）</t>
        </is>
      </c>
      <c r="D2" s="14" t="inlineStr">
        <is>
          <t>☐ 未完成</t>
        </is>
      </c>
      <c r="E2" s="15">
        <f>COUNTIF(D2:D5,"☑ 已完成")/COUNTA(C2:C5)</f>
        <v/>
      </c>
      <c r="F2" s="14" t="n"/>
      <c r="G2" s="16" t="inlineStr"/>
    </row>
    <row r="3" ht="52" customHeight="1">
      <c r="C3" s="13" t="inlineStr">
        <is>
          <t>2.专升本英语（75分钟）：锐树网课《朱老师版·阅读方法＋主旨大意＋推理题＋细节理解(一)(二)＋章节练习·细节理解21题+翻译23题》二刷+库课2000题专项综合练习</t>
        </is>
      </c>
      <c r="D3" s="14" t="inlineStr">
        <is>
          <t>☐ 未完成</t>
        </is>
      </c>
    </row>
    <row r="4" ht="20" customHeight="1">
      <c r="C4" s="13" t="inlineStr">
        <is>
          <t>3.专升本英语阅读+翻译专项（45分钟）</t>
        </is>
      </c>
      <c r="D4" s="14" t="inlineStr">
        <is>
          <t>☐ 未完成</t>
        </is>
      </c>
    </row>
    <row r="5" ht="20" customHeight="1">
      <c r="C5" s="17" t="inlineStr">
        <is>
          <t>4.词汇（30分钟）：不背单词APP转专升本词本+高频词</t>
        </is>
      </c>
      <c r="D5" s="14" t="inlineStr">
        <is>
          <t>☐ 未完成</t>
        </is>
      </c>
    </row>
    <row r="6" ht="36" customHeight="1">
      <c r="A6" s="12" t="inlineStr">
        <is>
          <t>2027-03-02</t>
        </is>
      </c>
      <c r="B6" s="8" t="inlineStr">
        <is>
          <t>周二</t>
        </is>
      </c>
      <c r="C6" s="13" t="inlineStr">
        <is>
          <t>1.高等数学（75分钟）：错题回顾+库课18套2道新大题+教材回读（错题）</t>
        </is>
      </c>
      <c r="D6" s="14" t="inlineStr">
        <is>
          <t>☐ 未完成</t>
        </is>
      </c>
      <c r="E6" s="15">
        <f>COUNTIF(D6:D9,"☑ 已完成")/COUNTA(C6:C9)</f>
        <v/>
      </c>
      <c r="F6" s="14" t="n"/>
      <c r="G6" s="16" t="inlineStr"/>
    </row>
    <row r="7" ht="36" customHeight="1">
      <c r="C7" s="18" t="inlineStr">
        <is>
          <t>2.专升本英语（90分钟）：库课2000题专项综合约15题巩固+锐树网课二刷回看</t>
        </is>
      </c>
      <c r="D7" s="14" t="inlineStr">
        <is>
          <t>☐ 未完成</t>
        </is>
      </c>
    </row>
    <row r="8" ht="20" customHeight="1">
      <c r="C8" s="13" t="inlineStr">
        <is>
          <t>3.专升本英语完形+写作专项（45分钟）</t>
        </is>
      </c>
      <c r="D8" s="14" t="inlineStr">
        <is>
          <t>☐ 未完成</t>
        </is>
      </c>
    </row>
    <row r="9" ht="20" customHeight="1">
      <c r="C9" s="17" t="inlineStr">
        <is>
          <t>4.词汇（30分钟）：不背单词APP转专升本词本+高频词</t>
        </is>
      </c>
      <c r="D9" s="14" t="inlineStr">
        <is>
          <t>☐ 未完成</t>
        </is>
      </c>
    </row>
    <row r="10" ht="36" customHeight="1">
      <c r="A10" s="12" t="inlineStr">
        <is>
          <t>2027-03-03</t>
        </is>
      </c>
      <c r="B10" s="8" t="inlineStr">
        <is>
          <t>周三</t>
        </is>
      </c>
      <c r="C10" s="13" t="inlineStr">
        <is>
          <t>1.高等数学（90分钟）：同济库课18套第13–15套+全真模考+库课18套2题（教材二刷·错题）</t>
        </is>
      </c>
      <c r="D10" s="14" t="inlineStr">
        <is>
          <t>☐ 未完成</t>
        </is>
      </c>
      <c r="E10" s="15">
        <f>COUNTIF(D10:D13,"☑ 已完成")/COUNTA(C10:C13)</f>
        <v/>
      </c>
      <c r="F10" s="14" t="n"/>
      <c r="G10" s="16" t="inlineStr"/>
    </row>
    <row r="11" ht="52" customHeight="1">
      <c r="C11" s="13" t="inlineStr">
        <is>
          <t>2.专升本英语（75分钟）：锐树网课《朱老师版·阅读方法＋主旨大意＋推理题＋细节理解(一)(二)＋章节练习·细节理解21题+翻译23题》二刷+库课2000题专项综合练习</t>
        </is>
      </c>
      <c r="D11" s="14" t="inlineStr">
        <is>
          <t>☐ 未完成</t>
        </is>
      </c>
    </row>
    <row r="12" ht="20" customHeight="1">
      <c r="C12" s="13" t="inlineStr">
        <is>
          <t>3.专升本英语阅读+翻译专项（45分钟）</t>
        </is>
      </c>
      <c r="D12" s="14" t="inlineStr">
        <is>
          <t>☐ 未完成</t>
        </is>
      </c>
    </row>
    <row r="13" ht="20" customHeight="1">
      <c r="C13" s="17" t="inlineStr">
        <is>
          <t>4.词汇（30分钟）：不背单词APP转专升本词本+高频词</t>
        </is>
      </c>
      <c r="D13" s="14" t="inlineStr">
        <is>
          <t>☐ 未完成</t>
        </is>
      </c>
    </row>
    <row r="14" ht="36" customHeight="1">
      <c r="A14" s="12" t="inlineStr">
        <is>
          <t>2027-03-04</t>
        </is>
      </c>
      <c r="B14" s="8" t="inlineStr">
        <is>
          <t>周四</t>
        </is>
      </c>
      <c r="C14" s="13" t="inlineStr">
        <is>
          <t>1.高等数学（75分钟）：错题回顾+库课18套2道新大题+教材回读（错题）</t>
        </is>
      </c>
      <c r="D14" s="14" t="inlineStr">
        <is>
          <t>☐ 未完成</t>
        </is>
      </c>
      <c r="E14" s="15">
        <f>COUNTIF(D14:D17,"☑ 已完成")/COUNTA(C14:C17)</f>
        <v/>
      </c>
      <c r="F14" s="14" t="n"/>
      <c r="G14" s="16" t="inlineStr"/>
    </row>
    <row r="15" ht="36" customHeight="1">
      <c r="C15" s="18" t="inlineStr">
        <is>
          <t>2.专升本英语（90分钟）：库课2000题专项综合约15题巩固+锐树网课二刷回看</t>
        </is>
      </c>
      <c r="D15" s="14" t="inlineStr">
        <is>
          <t>☐ 未完成</t>
        </is>
      </c>
    </row>
    <row r="16" ht="20" customHeight="1">
      <c r="C16" s="13" t="inlineStr">
        <is>
          <t>3.专升本英语完形+写作专项（45分钟）</t>
        </is>
      </c>
      <c r="D16" s="14" t="inlineStr">
        <is>
          <t>☐ 未完成</t>
        </is>
      </c>
    </row>
    <row r="17" ht="20" customHeight="1">
      <c r="C17" s="17" t="inlineStr">
        <is>
          <t>4.词汇（30分钟）：不背单词APP转专升本词本+高频词</t>
        </is>
      </c>
      <c r="D17" s="14" t="inlineStr">
        <is>
          <t>☐ 未完成</t>
        </is>
      </c>
    </row>
    <row r="18" ht="36" customHeight="1">
      <c r="A18" s="12" t="inlineStr">
        <is>
          <t>2027-03-05</t>
        </is>
      </c>
      <c r="B18" s="8" t="inlineStr">
        <is>
          <t>周五</t>
        </is>
      </c>
      <c r="C18" s="13" t="inlineStr">
        <is>
          <t>1.高等数学（90分钟）：同济冲刺模考+易错专练(极限/导数/积分)+高数教材二刷(全章)+库课18套2题（教材二刷·全章）</t>
        </is>
      </c>
      <c r="D18" s="14" t="inlineStr">
        <is>
          <t>☐ 未完成</t>
        </is>
      </c>
      <c r="E18" s="15">
        <f>COUNTIF(D18:D21,"☑ 已完成")/COUNTA(C18:C21)</f>
        <v/>
      </c>
      <c r="F18" s="14" t="n"/>
      <c r="G18" s="16" t="inlineStr"/>
    </row>
    <row r="19" ht="36" customHeight="1">
      <c r="C19" s="13" t="inlineStr">
        <is>
          <t>2.专升本英语（75分钟）：锐树网课《二刷·宋版词法动词＋从句特殊句式(易错)》二刷+库课2000题二刷·错题练习</t>
        </is>
      </c>
      <c r="D19" s="14" t="inlineStr">
        <is>
          <t>☐ 未完成</t>
        </is>
      </c>
    </row>
    <row r="20" ht="20" customHeight="1">
      <c r="C20" s="13" t="inlineStr">
        <is>
          <t>3.专升本英语阅读+翻译专项（45分钟）</t>
        </is>
      </c>
      <c r="D20" s="14" t="inlineStr">
        <is>
          <t>☐ 未完成</t>
        </is>
      </c>
    </row>
    <row r="21" ht="20" customHeight="1">
      <c r="C21" s="17" t="inlineStr">
        <is>
          <t>4.词汇（30分钟）：不背单词APP转专升本词本+高频词</t>
        </is>
      </c>
      <c r="D21" s="14" t="inlineStr">
        <is>
          <t>☐ 未完成</t>
        </is>
      </c>
    </row>
    <row r="22" ht="36" customHeight="1">
      <c r="A22" s="12" t="inlineStr">
        <is>
          <t>2027-03-06</t>
        </is>
      </c>
      <c r="B22" s="8" t="inlineStr">
        <is>
          <t>周六</t>
        </is>
      </c>
      <c r="C22" s="13" t="inlineStr">
        <is>
          <t>1.高等数学（75分钟）：错题回顾+库课18套2道新大题+教材回读（全章）</t>
        </is>
      </c>
      <c r="D22" s="14" t="inlineStr">
        <is>
          <t>☐ 未完成</t>
        </is>
      </c>
      <c r="E22" s="15">
        <f>COUNTIF(D22:D25,"☑ 已完成")/COUNTA(C22:C25)</f>
        <v/>
      </c>
      <c r="F22" s="14" t="n"/>
      <c r="G22" s="16" t="inlineStr"/>
    </row>
    <row r="23" ht="36" customHeight="1">
      <c r="C23" s="18" t="inlineStr">
        <is>
          <t>2.专升本英语（90分钟）：库课2000题二刷·错题约15题巩固+锐树网课二刷回看</t>
        </is>
      </c>
      <c r="D23" s="14" t="inlineStr">
        <is>
          <t>☐ 未完成</t>
        </is>
      </c>
    </row>
    <row r="24" ht="20" customHeight="1">
      <c r="C24" s="13" t="inlineStr">
        <is>
          <t>3.专升本英语完形+写作专项（45分钟）</t>
        </is>
      </c>
      <c r="D24" s="14" t="inlineStr">
        <is>
          <t>☐ 未完成</t>
        </is>
      </c>
    </row>
    <row r="25" ht="20" customHeight="1">
      <c r="C25" s="17" t="inlineStr">
        <is>
          <t>4.词汇（30分钟）：不背单词APP转专升本词本+高频词</t>
        </is>
      </c>
      <c r="D25" s="14" t="inlineStr">
        <is>
          <t>☐ 未完成</t>
        </is>
      </c>
    </row>
    <row r="26" ht="20" customHeight="1">
      <c r="A26" s="12" t="inlineStr">
        <is>
          <t>2027-03-07</t>
        </is>
      </c>
      <c r="B26" s="8" t="inlineStr">
        <is>
          <t>周日</t>
        </is>
      </c>
      <c r="C26" s="13" t="inlineStr">
        <is>
          <t>1.专升本数学模考：库课18套完整卷第9套2小时估分</t>
        </is>
      </c>
      <c r="D26" s="14" t="inlineStr">
        <is>
          <t>☐ 未完成</t>
        </is>
      </c>
      <c r="E26" s="15">
        <f>COUNTIF(D26:D27,"☑ 已完成")/COUNTA(C26:C27)</f>
        <v/>
      </c>
      <c r="F26" s="14" t="n"/>
      <c r="G26" s="16" t="inlineStr">
        <is>
          <t>模考日</t>
        </is>
      </c>
    </row>
    <row r="27" ht="20" customHeight="1">
      <c r="C27" s="18" t="inlineStr">
        <is>
          <t>2.错题归因+周复盘</t>
        </is>
      </c>
      <c r="D27" s="14" t="inlineStr">
        <is>
          <t>☐ 未完成</t>
        </is>
      </c>
    </row>
    <row r="28" ht="36" customHeight="1">
      <c r="A28" s="12" t="inlineStr">
        <is>
          <t>2027-03-08</t>
        </is>
      </c>
      <c r="B28" s="8" t="inlineStr">
        <is>
          <t>周一</t>
        </is>
      </c>
      <c r="C28" s="13" t="inlineStr">
        <is>
          <t>1.高等数学（90分钟）：同济冲刺模考+易错专练(极限/导数/积分)+高数教材二刷(全章)+库课18套2题（教材二刷·全章）</t>
        </is>
      </c>
      <c r="D28" s="14" t="inlineStr">
        <is>
          <t>☐ 未完成</t>
        </is>
      </c>
      <c r="E28" s="15">
        <f>COUNTIF(D28:D31,"☑ 已完成")/COUNTA(C28:C31)</f>
        <v/>
      </c>
      <c r="F28" s="14" t="n"/>
      <c r="G28" s="16" t="inlineStr"/>
    </row>
    <row r="29" ht="36" customHeight="1">
      <c r="C29" s="13" t="inlineStr">
        <is>
          <t>2.专升本英语（75分钟）：锐树网课《二刷·宋版词法动词＋从句特殊句式(易错)》二刷+库课2000题二刷·错题练习</t>
        </is>
      </c>
      <c r="D29" s="14" t="inlineStr">
        <is>
          <t>☐ 未完成</t>
        </is>
      </c>
    </row>
    <row r="30" ht="20" customHeight="1">
      <c r="C30" s="13" t="inlineStr">
        <is>
          <t>3.专升本英语阅读+翻译专项（45分钟）</t>
        </is>
      </c>
      <c r="D30" s="14" t="inlineStr">
        <is>
          <t>☐ 未完成</t>
        </is>
      </c>
    </row>
    <row r="31" ht="20" customHeight="1">
      <c r="C31" s="17" t="inlineStr">
        <is>
          <t>4.词汇（30分钟）：不背单词APP转专升本词本+高频词</t>
        </is>
      </c>
      <c r="D31" s="14" t="inlineStr">
        <is>
          <t>☐ 未完成</t>
        </is>
      </c>
    </row>
    <row r="32" ht="36" customHeight="1">
      <c r="A32" s="12" t="inlineStr">
        <is>
          <t>2027-03-09</t>
        </is>
      </c>
      <c r="B32" s="8" t="inlineStr">
        <is>
          <t>周二</t>
        </is>
      </c>
      <c r="C32" s="13" t="inlineStr">
        <is>
          <t>1.高等数学（75分钟）：错题回顾+库课18套2道新大题+教材回读（全章）</t>
        </is>
      </c>
      <c r="D32" s="14" t="inlineStr">
        <is>
          <t>☐ 未完成</t>
        </is>
      </c>
      <c r="E32" s="15">
        <f>COUNTIF(D32:D35,"☑ 已完成")/COUNTA(C32:C35)</f>
        <v/>
      </c>
      <c r="F32" s="14" t="n"/>
      <c r="G32" s="16" t="inlineStr"/>
    </row>
    <row r="33" ht="36" customHeight="1">
      <c r="C33" s="18" t="inlineStr">
        <is>
          <t>2.专升本英语（90分钟）：库课2000题二刷·错题约15题巩固+锐树网课二刷回看</t>
        </is>
      </c>
      <c r="D33" s="14" t="inlineStr">
        <is>
          <t>☐ 未完成</t>
        </is>
      </c>
    </row>
    <row r="34" ht="20" customHeight="1">
      <c r="C34" s="13" t="inlineStr">
        <is>
          <t>3.专升本英语完形+写作专项（45分钟）</t>
        </is>
      </c>
      <c r="D34" s="14" t="inlineStr">
        <is>
          <t>☐ 未完成</t>
        </is>
      </c>
    </row>
    <row r="35" ht="20" customHeight="1">
      <c r="C35" s="17" t="inlineStr">
        <is>
          <t>4.词汇（30分钟）：不背单词APP转专升本词本+高频词</t>
        </is>
      </c>
      <c r="D35" s="14" t="inlineStr">
        <is>
          <t>☐ 未完成</t>
        </is>
      </c>
    </row>
    <row r="36" ht="36" customHeight="1">
      <c r="A36" s="12" t="inlineStr">
        <is>
          <t>2027-03-10</t>
        </is>
      </c>
      <c r="B36" s="8" t="inlineStr">
        <is>
          <t>周三</t>
        </is>
      </c>
      <c r="C36" s="13" t="inlineStr">
        <is>
          <t>1.高等数学（90分钟）：同济冲刺模考+易错专练(极限/导数/积分)+高数教材二刷(全章)+库课18套2题（教材二刷·全章）</t>
        </is>
      </c>
      <c r="D36" s="14" t="inlineStr">
        <is>
          <t>☐ 未完成</t>
        </is>
      </c>
      <c r="E36" s="15">
        <f>COUNTIF(D36:D39,"☑ 已完成")/COUNTA(C36:C39)</f>
        <v/>
      </c>
      <c r="F36" s="14" t="n"/>
      <c r="G36" s="16" t="inlineStr">
        <is>
          <t>专升本报名窗口(参考3/10-13)</t>
        </is>
      </c>
    </row>
    <row r="37" ht="36" customHeight="1">
      <c r="C37" s="13" t="inlineStr">
        <is>
          <t>2.专升本英语（75分钟）：锐树网课《二刷·宋版词法动词＋从句特殊句式(易错)》二刷+库课2000题二刷·错题练习</t>
        </is>
      </c>
      <c r="D37" s="14" t="inlineStr">
        <is>
          <t>☐ 未完成</t>
        </is>
      </c>
    </row>
    <row r="38" ht="20" customHeight="1">
      <c r="C38" s="13" t="inlineStr">
        <is>
          <t>3.专升本英语阅读+翻译专项（45分钟）</t>
        </is>
      </c>
      <c r="D38" s="14" t="inlineStr">
        <is>
          <t>☐ 未完成</t>
        </is>
      </c>
    </row>
    <row r="39" ht="20" customHeight="1">
      <c r="C39" s="17" t="inlineStr">
        <is>
          <t>4.词汇（30分钟）：不背单词APP转专升本词本+高频词</t>
        </is>
      </c>
      <c r="D39" s="14" t="inlineStr">
        <is>
          <t>☐ 未完成</t>
        </is>
      </c>
    </row>
    <row r="40" ht="36" customHeight="1">
      <c r="A40" s="12" t="inlineStr">
        <is>
          <t>2027-03-11</t>
        </is>
      </c>
      <c r="B40" s="8" t="inlineStr">
        <is>
          <t>周四</t>
        </is>
      </c>
      <c r="C40" s="13" t="inlineStr">
        <is>
          <t>1.高等数学（75分钟）：错题回顾+库课18套2道新大题+教材回读（全章）</t>
        </is>
      </c>
      <c r="D40" s="14" t="inlineStr">
        <is>
          <t>☐ 未完成</t>
        </is>
      </c>
      <c r="E40" s="15">
        <f>COUNTIF(D40:D43,"☑ 已完成")/COUNTA(C40:C43)</f>
        <v/>
      </c>
      <c r="F40" s="14" t="n"/>
      <c r="G40" s="16" t="inlineStr"/>
    </row>
    <row r="41" ht="36" customHeight="1">
      <c r="C41" s="18" t="inlineStr">
        <is>
          <t>2.专升本英语（90分钟）：库课2000题二刷·错题约15题巩固+锐树网课二刷回看</t>
        </is>
      </c>
      <c r="D41" s="14" t="inlineStr">
        <is>
          <t>☐ 未完成</t>
        </is>
      </c>
    </row>
    <row r="42" ht="20" customHeight="1">
      <c r="C42" s="13" t="inlineStr">
        <is>
          <t>3.专升本英语完形+写作专项（45分钟）</t>
        </is>
      </c>
      <c r="D42" s="14" t="inlineStr">
        <is>
          <t>☐ 未完成</t>
        </is>
      </c>
    </row>
    <row r="43" ht="20" customHeight="1">
      <c r="C43" s="17" t="inlineStr">
        <is>
          <t>4.词汇（30分钟）：不背单词APP转专升本词本+高频词</t>
        </is>
      </c>
      <c r="D43" s="14" t="inlineStr">
        <is>
          <t>☐ 未完成</t>
        </is>
      </c>
    </row>
    <row r="44" ht="36" customHeight="1">
      <c r="A44" s="12" t="inlineStr">
        <is>
          <t>2027-03-12</t>
        </is>
      </c>
      <c r="B44" s="8" t="inlineStr">
        <is>
          <t>周五</t>
        </is>
      </c>
      <c r="C44" s="13" t="inlineStr">
        <is>
          <t>1.高等数学（90分钟）：同济冲刺模考+易错专练(微分方程/综合)+高数教材二刷(错题)+库课18套2题（教材二刷·错题）</t>
        </is>
      </c>
      <c r="D44" s="14" t="inlineStr">
        <is>
          <t>☐ 未完成</t>
        </is>
      </c>
      <c r="E44" s="15">
        <f>COUNTIF(D44:D47,"☑ 已完成")/COUNTA(C44:C47)</f>
        <v/>
      </c>
      <c r="F44" s="14" t="n"/>
      <c r="G44" s="16" t="inlineStr"/>
    </row>
    <row r="45" ht="36" customHeight="1">
      <c r="C45" s="13" t="inlineStr">
        <is>
          <t>2.专升本英语（75分钟）：锐树网课《二刷·宋版阅读(连词成句/篇章填空)》二刷+库课2000题二刷·错题练习</t>
        </is>
      </c>
      <c r="D45" s="14" t="inlineStr">
        <is>
          <t>☐ 未完成</t>
        </is>
      </c>
    </row>
    <row r="46" ht="20" customHeight="1">
      <c r="C46" s="13" t="inlineStr">
        <is>
          <t>3.专升本英语阅读+翻译专项（45分钟）</t>
        </is>
      </c>
      <c r="D46" s="14" t="inlineStr">
        <is>
          <t>☐ 未完成</t>
        </is>
      </c>
    </row>
    <row r="47" ht="20" customHeight="1">
      <c r="C47" s="17" t="inlineStr">
        <is>
          <t>4.词汇（30分钟）：不背单词APP转专升本词本+高频词</t>
        </is>
      </c>
      <c r="D47" s="14" t="inlineStr">
        <is>
          <t>☐ 未完成</t>
        </is>
      </c>
    </row>
    <row r="48" ht="36" customHeight="1">
      <c r="A48" s="12" t="inlineStr">
        <is>
          <t>2027-03-13</t>
        </is>
      </c>
      <c r="B48" s="8" t="inlineStr">
        <is>
          <t>周六</t>
        </is>
      </c>
      <c r="C48" s="13" t="inlineStr">
        <is>
          <t>1.高等数学（75分钟）：错题回顾+库课18套2道新大题+教材回读（错题）</t>
        </is>
      </c>
      <c r="D48" s="14" t="inlineStr">
        <is>
          <t>☐ 未完成</t>
        </is>
      </c>
      <c r="E48" s="15">
        <f>COUNTIF(D48:D51,"☑ 已完成")/COUNTA(C48:C51)</f>
        <v/>
      </c>
      <c r="F48" s="14" t="n"/>
      <c r="G48" s="16" t="inlineStr">
        <is>
          <t>专升本报名窗口(参考3/10-13)</t>
        </is>
      </c>
    </row>
    <row r="49" ht="36" customHeight="1">
      <c r="C49" s="18" t="inlineStr">
        <is>
          <t>2.专升本英语（90分钟）：库课2000题二刷·错题约15题巩固+锐树网课二刷回看</t>
        </is>
      </c>
      <c r="D49" s="14" t="inlineStr">
        <is>
          <t>☐ 未完成</t>
        </is>
      </c>
    </row>
    <row r="50" ht="20" customHeight="1">
      <c r="C50" s="13" t="inlineStr">
        <is>
          <t>3.专升本英语完形+写作专项（45分钟）</t>
        </is>
      </c>
      <c r="D50" s="14" t="inlineStr">
        <is>
          <t>☐ 未完成</t>
        </is>
      </c>
    </row>
    <row r="51" ht="20" customHeight="1">
      <c r="C51" s="17" t="inlineStr">
        <is>
          <t>4.词汇（30分钟）：不背单词APP转专升本词本+高频词</t>
        </is>
      </c>
      <c r="D51" s="14" t="inlineStr">
        <is>
          <t>☐ 未完成</t>
        </is>
      </c>
    </row>
    <row r="52" ht="20" customHeight="1">
      <c r="A52" s="12" t="inlineStr">
        <is>
          <t>2027-03-14</t>
        </is>
      </c>
      <c r="B52" s="8" t="inlineStr">
        <is>
          <t>周日</t>
        </is>
      </c>
      <c r="C52" s="13" t="inlineStr">
        <is>
          <t>1.专升本英语模考：2024年真题(不完整)（约2小时）</t>
        </is>
      </c>
      <c r="D52" s="14" t="inlineStr">
        <is>
          <t>☐ 未完成</t>
        </is>
      </c>
      <c r="E52" s="15">
        <f>COUNTIF(D52:D53,"☑ 已完成")/COUNTA(C52:C53)</f>
        <v/>
      </c>
      <c r="F52" s="14" t="n"/>
      <c r="G52" s="16" t="inlineStr">
        <is>
          <t>模考日</t>
        </is>
      </c>
    </row>
    <row r="53" ht="20" customHeight="1">
      <c r="C53" s="18" t="inlineStr">
        <is>
          <t>2.错题归因+周复盘</t>
        </is>
      </c>
      <c r="D53" s="14" t="inlineStr">
        <is>
          <t>☐ 未完成</t>
        </is>
      </c>
    </row>
    <row r="54" ht="36" customHeight="1">
      <c r="A54" s="12" t="inlineStr">
        <is>
          <t>2027-03-15</t>
        </is>
      </c>
      <c r="B54" s="8" t="inlineStr">
        <is>
          <t>周一</t>
        </is>
      </c>
      <c r="C54" s="13" t="inlineStr">
        <is>
          <t>1.高等数学（90分钟）：同济冲刺模考+易错专练(微分方程/综合)+高数教材二刷(错题)+库课18套2题（教材二刷·错题）</t>
        </is>
      </c>
      <c r="D54" s="14" t="inlineStr">
        <is>
          <t>☐ 未完成</t>
        </is>
      </c>
      <c r="E54" s="15">
        <f>COUNTIF(D54:D57,"☑ 已完成")/COUNTA(C54:C57)</f>
        <v/>
      </c>
      <c r="F54" s="14" t="n"/>
      <c r="G54" s="16" t="inlineStr"/>
    </row>
    <row r="55" ht="36" customHeight="1">
      <c r="C55" s="13" t="inlineStr">
        <is>
          <t>2.专升本英语（75分钟）：锐树网课《二刷·宋版阅读(连词成句/篇章填空)》二刷+库课2000题二刷·错题练习</t>
        </is>
      </c>
      <c r="D55" s="14" t="inlineStr">
        <is>
          <t>☐ 未完成</t>
        </is>
      </c>
    </row>
    <row r="56" ht="20" customHeight="1">
      <c r="C56" s="13" t="inlineStr">
        <is>
          <t>3.专升本英语阅读+翻译专项（45分钟）</t>
        </is>
      </c>
      <c r="D56" s="14" t="inlineStr">
        <is>
          <t>☐ 未完成</t>
        </is>
      </c>
    </row>
    <row r="57" ht="20" customHeight="1">
      <c r="C57" s="17" t="inlineStr">
        <is>
          <t>4.词汇（30分钟）：不背单词APP转专升本词本+高频词</t>
        </is>
      </c>
      <c r="D57" s="14" t="inlineStr">
        <is>
          <t>☐ 未完成</t>
        </is>
      </c>
    </row>
    <row r="58" ht="36" customHeight="1">
      <c r="A58" s="12" t="inlineStr">
        <is>
          <t>2027-03-16</t>
        </is>
      </c>
      <c r="B58" s="8" t="inlineStr">
        <is>
          <t>周二</t>
        </is>
      </c>
      <c r="C58" s="13" t="inlineStr">
        <is>
          <t>1.高等数学（75分钟）：错题回顾+库课18套2道新大题+教材回读（错题）</t>
        </is>
      </c>
      <c r="D58" s="14" t="inlineStr">
        <is>
          <t>☐ 未完成</t>
        </is>
      </c>
      <c r="E58" s="15">
        <f>COUNTIF(D58:D61,"☑ 已完成")/COUNTA(C58:C61)</f>
        <v/>
      </c>
      <c r="F58" s="14" t="n"/>
      <c r="G58" s="16" t="inlineStr"/>
    </row>
    <row r="59" ht="36" customHeight="1">
      <c r="C59" s="18" t="inlineStr">
        <is>
          <t>2.专升本英语（90分钟）：库课2000题二刷·错题约15题巩固+锐树网课二刷回看</t>
        </is>
      </c>
      <c r="D59" s="14" t="inlineStr">
        <is>
          <t>☐ 未完成</t>
        </is>
      </c>
    </row>
    <row r="60" ht="20" customHeight="1">
      <c r="C60" s="13" t="inlineStr">
        <is>
          <t>3.专升本英语完形+写作专项（45分钟）</t>
        </is>
      </c>
      <c r="D60" s="14" t="inlineStr">
        <is>
          <t>☐ 未完成</t>
        </is>
      </c>
    </row>
    <row r="61" ht="20" customHeight="1">
      <c r="C61" s="17" t="inlineStr">
        <is>
          <t>4.词汇（30分钟）：不背单词APP转专升本词本+高频词</t>
        </is>
      </c>
      <c r="D61" s="14" t="inlineStr">
        <is>
          <t>☐ 未完成</t>
        </is>
      </c>
    </row>
    <row r="62" ht="36" customHeight="1">
      <c r="A62" s="12" t="inlineStr">
        <is>
          <t>2027-03-17</t>
        </is>
      </c>
      <c r="B62" s="8" t="inlineStr">
        <is>
          <t>周三</t>
        </is>
      </c>
      <c r="C62" s="13" t="inlineStr">
        <is>
          <t>1.高等数学（90分钟）：同济冲刺模考+易错专练(微分方程/综合)+高数教材二刷(错题)+库课18套2题（教材二刷·错题）</t>
        </is>
      </c>
      <c r="D62" s="14" t="inlineStr">
        <is>
          <t>☐ 未完成</t>
        </is>
      </c>
      <c r="E62" s="15">
        <f>COUNTIF(D62:D65,"☑ 已完成")/COUNTA(C62:C65)</f>
        <v/>
      </c>
      <c r="F62" s="14" t="n"/>
      <c r="G62" s="16" t="inlineStr"/>
    </row>
    <row r="63" ht="36" customHeight="1">
      <c r="C63" s="13" t="inlineStr">
        <is>
          <t>2.专升本英语（75分钟）：锐树网课《二刷·宋版阅读(连词成句/篇章填空)》二刷+库课2000题二刷·错题练习</t>
        </is>
      </c>
      <c r="D63" s="14" t="inlineStr">
        <is>
          <t>☐ 未完成</t>
        </is>
      </c>
    </row>
    <row r="64" ht="20" customHeight="1">
      <c r="C64" s="13" t="inlineStr">
        <is>
          <t>3.专升本英语阅读+翻译专项（45分钟）</t>
        </is>
      </c>
      <c r="D64" s="14" t="inlineStr">
        <is>
          <t>☐ 未完成</t>
        </is>
      </c>
    </row>
    <row r="65" ht="20" customHeight="1">
      <c r="C65" s="17" t="inlineStr">
        <is>
          <t>4.词汇（30分钟）：不背单词APP转专升本词本+高频词</t>
        </is>
      </c>
      <c r="D65" s="14" t="inlineStr">
        <is>
          <t>☐ 未完成</t>
        </is>
      </c>
    </row>
    <row r="66" ht="36" customHeight="1">
      <c r="A66" s="12" t="inlineStr">
        <is>
          <t>2027-03-18</t>
        </is>
      </c>
      <c r="B66" s="8" t="inlineStr">
        <is>
          <t>周四</t>
        </is>
      </c>
      <c r="C66" s="13" t="inlineStr">
        <is>
          <t>1.高等数学（75分钟）：错题回顾+库课18套2道新大题+教材回读（错题）</t>
        </is>
      </c>
      <c r="D66" s="14" t="inlineStr">
        <is>
          <t>☐ 未完成</t>
        </is>
      </c>
      <c r="E66" s="15">
        <f>COUNTIF(D66:D69,"☑ 已完成")/COUNTA(C66:C69)</f>
        <v/>
      </c>
      <c r="F66" s="14" t="n"/>
      <c r="G66" s="16" t="inlineStr"/>
    </row>
    <row r="67" ht="36" customHeight="1">
      <c r="C67" s="18" t="inlineStr">
        <is>
          <t>2.专升本英语（90分钟）：库课2000题二刷·错题约15题巩固+锐树网课二刷回看</t>
        </is>
      </c>
      <c r="D67" s="14" t="inlineStr">
        <is>
          <t>☐ 未完成</t>
        </is>
      </c>
    </row>
    <row r="68" ht="20" customHeight="1">
      <c r="C68" s="13" t="inlineStr">
        <is>
          <t>3.专升本英语完形+写作专项（45分钟）</t>
        </is>
      </c>
      <c r="D68" s="14" t="inlineStr">
        <is>
          <t>☐ 未完成</t>
        </is>
      </c>
    </row>
    <row r="69" ht="20" customHeight="1">
      <c r="C69" s="17" t="inlineStr">
        <is>
          <t>4.词汇（30分钟）：不背单词APP转专升本词本+高频词</t>
        </is>
      </c>
      <c r="D69" s="14" t="inlineStr">
        <is>
          <t>☐ 未完成</t>
        </is>
      </c>
    </row>
    <row r="70" ht="36" customHeight="1">
      <c r="A70" s="12" t="inlineStr">
        <is>
          <t>2027-03-19</t>
        </is>
      </c>
      <c r="B70" s="8" t="inlineStr">
        <is>
          <t>周五</t>
        </is>
      </c>
      <c r="C70" s="13" t="inlineStr">
        <is>
          <t>1.高等数学（90分钟）：同济冲刺模考+错题清零+高数教材三刷(重点)+库课18套2题（教材二刷·重点）</t>
        </is>
      </c>
      <c r="D70" s="14" t="inlineStr">
        <is>
          <t>☐ 未完成</t>
        </is>
      </c>
      <c r="E70" s="15">
        <f>COUNTIF(D70:D73,"☑ 已完成")/COUNTA(C70:C73)</f>
        <v/>
      </c>
      <c r="F70" s="14" t="n"/>
      <c r="G70" s="16" t="inlineStr"/>
    </row>
    <row r="71" ht="36" customHeight="1">
      <c r="C71" s="13" t="inlineStr">
        <is>
          <t>2.专升本英语（75分钟）：锐树网课《二刷·朱版词汇语法(易错)》二刷+库课2000题二刷·错题练习</t>
        </is>
      </c>
      <c r="D71" s="14" t="inlineStr">
        <is>
          <t>☐ 未完成</t>
        </is>
      </c>
    </row>
    <row r="72" ht="20" customHeight="1">
      <c r="C72" s="13" t="inlineStr">
        <is>
          <t>3.专升本英语阅读+翻译专项（45分钟）</t>
        </is>
      </c>
      <c r="D72" s="14" t="inlineStr">
        <is>
          <t>☐ 未完成</t>
        </is>
      </c>
    </row>
    <row r="73" ht="20" customHeight="1">
      <c r="C73" s="17" t="inlineStr">
        <is>
          <t>4.词汇（30分钟）：不背单词APP转专升本词本+高频词</t>
        </is>
      </c>
      <c r="D73" s="14" t="inlineStr">
        <is>
          <t>☐ 未完成</t>
        </is>
      </c>
    </row>
    <row r="74" ht="36" customHeight="1">
      <c r="A74" s="12" t="inlineStr">
        <is>
          <t>2027-03-20</t>
        </is>
      </c>
      <c r="B74" s="8" t="inlineStr">
        <is>
          <t>周六</t>
        </is>
      </c>
      <c r="C74" s="13" t="inlineStr">
        <is>
          <t>1.高等数学（75分钟）：错题回顾+库课18套2道新大题+教材回读（重点）</t>
        </is>
      </c>
      <c r="D74" s="14" t="inlineStr">
        <is>
          <t>☐ 未完成</t>
        </is>
      </c>
      <c r="E74" s="15">
        <f>COUNTIF(D74:D77,"☑ 已完成")/COUNTA(C74:C77)</f>
        <v/>
      </c>
      <c r="F74" s="14" t="n"/>
      <c r="G74" s="16" t="inlineStr"/>
    </row>
    <row r="75" ht="36" customHeight="1">
      <c r="C75" s="18" t="inlineStr">
        <is>
          <t>2.专升本英语（90分钟）：库课2000题二刷·错题约15题巩固+锐树网课二刷回看</t>
        </is>
      </c>
      <c r="D75" s="14" t="inlineStr">
        <is>
          <t>☐ 未完成</t>
        </is>
      </c>
    </row>
    <row r="76" ht="20" customHeight="1">
      <c r="C76" s="13" t="inlineStr">
        <is>
          <t>3.专升本英语完形+写作专项（45分钟）</t>
        </is>
      </c>
      <c r="D76" s="14" t="inlineStr">
        <is>
          <t>☐ 未完成</t>
        </is>
      </c>
    </row>
    <row r="77" ht="20" customHeight="1">
      <c r="C77" s="17" t="inlineStr">
        <is>
          <t>4.词汇（30分钟）：不背单词APP转专升本词本+高频词</t>
        </is>
      </c>
      <c r="D77" s="14" t="inlineStr">
        <is>
          <t>☐ 未完成</t>
        </is>
      </c>
    </row>
    <row r="78" ht="20" customHeight="1">
      <c r="A78" s="12" t="inlineStr">
        <is>
          <t>2027-03-21</t>
        </is>
      </c>
      <c r="B78" s="8" t="inlineStr">
        <is>
          <t>周日</t>
        </is>
      </c>
      <c r="C78" s="13" t="inlineStr">
        <is>
          <t>1.专升本数学模考：库课18套完整卷第10套2小时估分</t>
        </is>
      </c>
      <c r="D78" s="14" t="inlineStr">
        <is>
          <t>☐ 未完成</t>
        </is>
      </c>
      <c r="E78" s="15">
        <f>COUNTIF(D78:D79,"☑ 已完成")/COUNTA(C78:C79)</f>
        <v/>
      </c>
      <c r="F78" s="14" t="n"/>
      <c r="G78" s="16" t="inlineStr">
        <is>
          <t>模考日</t>
        </is>
      </c>
    </row>
    <row r="79" ht="20" customHeight="1">
      <c r="C79" s="18" t="inlineStr">
        <is>
          <t>2.错题归因+周复盘</t>
        </is>
      </c>
      <c r="D79" s="14" t="inlineStr">
        <is>
          <t>☐ 未完成</t>
        </is>
      </c>
    </row>
    <row r="80" ht="36" customHeight="1">
      <c r="A80" s="12" t="inlineStr">
        <is>
          <t>2027-03-22</t>
        </is>
      </c>
      <c r="B80" s="8" t="inlineStr">
        <is>
          <t>周一</t>
        </is>
      </c>
      <c r="C80" s="13" t="inlineStr">
        <is>
          <t>1.高等数学（90分钟）：同济冲刺模考+错题清零+高数教材三刷(重点)+库课18套2题（教材二刷·重点）</t>
        </is>
      </c>
      <c r="D80" s="14" t="inlineStr">
        <is>
          <t>☐ 未完成</t>
        </is>
      </c>
      <c r="E80" s="15">
        <f>COUNTIF(D80:D83,"☑ 已完成")/COUNTA(C80:C83)</f>
        <v/>
      </c>
      <c r="F80" s="14" t="n"/>
      <c r="G80" s="16" t="inlineStr"/>
    </row>
    <row r="81" ht="36" customHeight="1">
      <c r="C81" s="13" t="inlineStr">
        <is>
          <t>2.专升本英语（75分钟）：锐树网课《二刷·朱版词汇语法(易错)》二刷+库课2000题二刷·错题练习</t>
        </is>
      </c>
      <c r="D81" s="14" t="inlineStr">
        <is>
          <t>☐ 未完成</t>
        </is>
      </c>
    </row>
    <row r="82" ht="20" customHeight="1">
      <c r="C82" s="13" t="inlineStr">
        <is>
          <t>3.专升本英语阅读+翻译专项（45分钟）</t>
        </is>
      </c>
      <c r="D82" s="14" t="inlineStr">
        <is>
          <t>☐ 未完成</t>
        </is>
      </c>
    </row>
    <row r="83" ht="20" customHeight="1">
      <c r="C83" s="17" t="inlineStr">
        <is>
          <t>4.词汇（30分钟）：不背单词APP转专升本词本+高频词</t>
        </is>
      </c>
      <c r="D83" s="14" t="inlineStr">
        <is>
          <t>☐ 未完成</t>
        </is>
      </c>
    </row>
    <row r="84" ht="36" customHeight="1">
      <c r="A84" s="12" t="inlineStr">
        <is>
          <t>2027-03-23</t>
        </is>
      </c>
      <c r="B84" s="8" t="inlineStr">
        <is>
          <t>周二</t>
        </is>
      </c>
      <c r="C84" s="13" t="inlineStr">
        <is>
          <t>1.高等数学（75分钟）：错题回顾+库课18套2道新大题+教材回读（重点）</t>
        </is>
      </c>
      <c r="D84" s="14" t="inlineStr">
        <is>
          <t>☐ 未完成</t>
        </is>
      </c>
      <c r="E84" s="15">
        <f>COUNTIF(D84:D87,"☑ 已完成")/COUNTA(C84:C87)</f>
        <v/>
      </c>
      <c r="F84" s="14" t="n"/>
      <c r="G84" s="16" t="inlineStr"/>
    </row>
    <row r="85" ht="36" customHeight="1">
      <c r="C85" s="18" t="inlineStr">
        <is>
          <t>2.专升本英语（90分钟）：库课2000题二刷·错题约15题巩固+锐树网课二刷回看</t>
        </is>
      </c>
      <c r="D85" s="14" t="inlineStr">
        <is>
          <t>☐ 未完成</t>
        </is>
      </c>
    </row>
    <row r="86" ht="20" customHeight="1">
      <c r="C86" s="13" t="inlineStr">
        <is>
          <t>3.专升本英语完形+写作专项（45分钟）</t>
        </is>
      </c>
      <c r="D86" s="14" t="inlineStr">
        <is>
          <t>☐ 未完成</t>
        </is>
      </c>
    </row>
    <row r="87" ht="20" customHeight="1">
      <c r="C87" s="17" t="inlineStr">
        <is>
          <t>4.词汇（30分钟）：不背单词APP转专升本词本+高频词</t>
        </is>
      </c>
      <c r="D87" s="14" t="inlineStr">
        <is>
          <t>☐ 未完成</t>
        </is>
      </c>
    </row>
    <row r="88" ht="36" customHeight="1">
      <c r="A88" s="12" t="inlineStr">
        <is>
          <t>2027-03-24</t>
        </is>
      </c>
      <c r="B88" s="8" t="inlineStr">
        <is>
          <t>周三</t>
        </is>
      </c>
      <c r="C88" s="13" t="inlineStr">
        <is>
          <t>1.高等数学（90分钟）：同济冲刺模考+错题清零+高数教材三刷(重点)+库课18套2题（教材二刷·重点）</t>
        </is>
      </c>
      <c r="D88" s="14" t="inlineStr">
        <is>
          <t>☐ 未完成</t>
        </is>
      </c>
      <c r="E88" s="15">
        <f>COUNTIF(D88:D91,"☑ 已完成")/COUNTA(C88:C91)</f>
        <v/>
      </c>
      <c r="F88" s="14" t="n"/>
      <c r="G88" s="16" t="inlineStr"/>
    </row>
    <row r="89" ht="36" customHeight="1">
      <c r="C89" s="13" t="inlineStr">
        <is>
          <t>2.专升本英语（75分钟）：锐树网课《二刷·朱版词汇语法(易错)》二刷+库课2000题二刷·错题练习</t>
        </is>
      </c>
      <c r="D89" s="14" t="inlineStr">
        <is>
          <t>☐ 未完成</t>
        </is>
      </c>
    </row>
    <row r="90" ht="20" customHeight="1">
      <c r="C90" s="13" t="inlineStr">
        <is>
          <t>3.专升本英语阅读+翻译专项（45分钟）</t>
        </is>
      </c>
      <c r="D90" s="14" t="inlineStr">
        <is>
          <t>☐ 未完成</t>
        </is>
      </c>
    </row>
    <row r="91" ht="20" customHeight="1">
      <c r="C91" s="17" t="inlineStr">
        <is>
          <t>4.词汇（30分钟）：不背单词APP转专升本词本+高频词</t>
        </is>
      </c>
      <c r="D91" s="14" t="inlineStr">
        <is>
          <t>☐ 未完成</t>
        </is>
      </c>
    </row>
    <row r="92" ht="36" customHeight="1">
      <c r="A92" s="12" t="inlineStr">
        <is>
          <t>2027-03-25</t>
        </is>
      </c>
      <c r="B92" s="8" t="inlineStr">
        <is>
          <t>周四</t>
        </is>
      </c>
      <c r="C92" s="13" t="inlineStr">
        <is>
          <t>1.高等数学（75分钟）：错题回顾+库课18套2道新大题+教材回读（重点）</t>
        </is>
      </c>
      <c r="D92" s="14" t="inlineStr">
        <is>
          <t>☐ 未完成</t>
        </is>
      </c>
      <c r="E92" s="15">
        <f>COUNTIF(D92:D95,"☑ 已完成")/COUNTA(C92:C95)</f>
        <v/>
      </c>
      <c r="F92" s="14" t="n"/>
      <c r="G92" s="16" t="inlineStr"/>
    </row>
    <row r="93" ht="36" customHeight="1">
      <c r="C93" s="18" t="inlineStr">
        <is>
          <t>2.专升本英语（90分钟）：库课2000题二刷·错题约15题巩固+锐树网课二刷回看</t>
        </is>
      </c>
      <c r="D93" s="14" t="inlineStr">
        <is>
          <t>☐ 未完成</t>
        </is>
      </c>
    </row>
    <row r="94" ht="20" customHeight="1">
      <c r="C94" s="13" t="inlineStr">
        <is>
          <t>3.专升本英语完形+写作专项（45分钟）</t>
        </is>
      </c>
      <c r="D94" s="14" t="inlineStr">
        <is>
          <t>☐ 未完成</t>
        </is>
      </c>
    </row>
    <row r="95" ht="20" customHeight="1">
      <c r="C95" s="17" t="inlineStr">
        <is>
          <t>4.词汇（30分钟）：不背单词APP转专升本词本+高频词</t>
        </is>
      </c>
      <c r="D95" s="14" t="inlineStr">
        <is>
          <t>☐ 未完成</t>
        </is>
      </c>
    </row>
    <row r="96" ht="36" customHeight="1">
      <c r="A96" s="12" t="inlineStr">
        <is>
          <t>2027-03-26</t>
        </is>
      </c>
      <c r="B96" s="8" t="inlineStr">
        <is>
          <t>周五</t>
        </is>
      </c>
      <c r="C96" s="13" t="inlineStr">
        <is>
          <t>1.高等数学（90分钟）：同济考前调整+易错清单回顾+教材公式速记+库课18套2题（教材二刷·公式速记）</t>
        </is>
      </c>
      <c r="D96" s="14" t="inlineStr">
        <is>
          <t>☐ 未完成</t>
        </is>
      </c>
      <c r="E96" s="15">
        <f>COUNTIF(D96:D99,"☑ 已完成")/COUNTA(C96:C99)</f>
        <v/>
      </c>
      <c r="F96" s="14" t="n"/>
      <c r="G96" s="16" t="inlineStr"/>
    </row>
    <row r="97" ht="36" customHeight="1">
      <c r="C97" s="13" t="inlineStr">
        <is>
          <t>2.专升本英语（75分钟）：锐树网课《二刷·朱版阅读翻译写作》二刷+库课2000题二刷·错题练习</t>
        </is>
      </c>
      <c r="D97" s="14" t="inlineStr">
        <is>
          <t>☐ 未完成</t>
        </is>
      </c>
    </row>
    <row r="98" ht="20" customHeight="1">
      <c r="C98" s="13" t="inlineStr">
        <is>
          <t>3.专升本英语阅读+翻译专项（45分钟）</t>
        </is>
      </c>
      <c r="D98" s="14" t="inlineStr">
        <is>
          <t>☐ 未完成</t>
        </is>
      </c>
    </row>
    <row r="99" ht="20" customHeight="1">
      <c r="C99" s="17" t="inlineStr">
        <is>
          <t>4.词汇（30分钟）：不背单词APP转专升本词本+高频词</t>
        </is>
      </c>
      <c r="D99" s="14" t="inlineStr">
        <is>
          <t>☐ 未完成</t>
        </is>
      </c>
    </row>
    <row r="100" ht="36" customHeight="1">
      <c r="A100" s="12" t="inlineStr">
        <is>
          <t>2027-03-27</t>
        </is>
      </c>
      <c r="B100" s="8" t="inlineStr">
        <is>
          <t>周六</t>
        </is>
      </c>
      <c r="C100" s="13" t="inlineStr">
        <is>
          <t>1.高等数学（75分钟）：错题回顾+库课18套2道新大题+教材回读（公式速记）</t>
        </is>
      </c>
      <c r="D100" s="14" t="inlineStr">
        <is>
          <t>☐ 未完成</t>
        </is>
      </c>
      <c r="E100" s="15">
        <f>COUNTIF(D100:D103,"☑ 已完成")/COUNTA(C100:C103)</f>
        <v/>
      </c>
      <c r="F100" s="14" t="n"/>
      <c r="G100" s="16" t="inlineStr"/>
    </row>
    <row r="101" ht="36" customHeight="1">
      <c r="C101" s="18" t="inlineStr">
        <is>
          <t>2.专升本英语（90分钟）：库课2000题二刷·错题约15题巩固+锐树网课二刷回看</t>
        </is>
      </c>
      <c r="D101" s="14" t="inlineStr">
        <is>
          <t>☐ 未完成</t>
        </is>
      </c>
    </row>
    <row r="102" ht="20" customHeight="1">
      <c r="C102" s="13" t="inlineStr">
        <is>
          <t>3.专升本英语完形+写作专项（45分钟）</t>
        </is>
      </c>
      <c r="D102" s="14" t="inlineStr">
        <is>
          <t>☐ 未完成</t>
        </is>
      </c>
    </row>
    <row r="103" ht="20" customHeight="1">
      <c r="C103" s="17" t="inlineStr">
        <is>
          <t>4.词汇（30分钟）：不背单词APP转专升本词本+高频词</t>
        </is>
      </c>
      <c r="D103" s="14" t="inlineStr">
        <is>
          <t>☐ 未完成</t>
        </is>
      </c>
    </row>
    <row r="104" ht="20" customHeight="1">
      <c r="A104" s="12" t="inlineStr">
        <is>
          <t>2027-03-28</t>
        </is>
      </c>
      <c r="B104" s="8" t="inlineStr">
        <is>
          <t>周日</t>
        </is>
      </c>
      <c r="C104" s="13" t="inlineStr">
        <is>
          <t>1.专升本英语模考：2025年真题（约2小时）</t>
        </is>
      </c>
      <c r="D104" s="14" t="inlineStr">
        <is>
          <t>☐ 未完成</t>
        </is>
      </c>
      <c r="E104" s="15">
        <f>COUNTIF(D104:D105,"☑ 已完成")/COUNTA(C104:C105)</f>
        <v/>
      </c>
      <c r="F104" s="14" t="n"/>
      <c r="G104" s="16" t="inlineStr">
        <is>
          <t>模考日</t>
        </is>
      </c>
    </row>
    <row r="105" ht="20" customHeight="1">
      <c r="C105" s="18" t="inlineStr">
        <is>
          <t>2.错题归因+周复盘</t>
        </is>
      </c>
      <c r="D105" s="14" t="inlineStr">
        <is>
          <t>☐ 未完成</t>
        </is>
      </c>
    </row>
    <row r="106" ht="36" customHeight="1">
      <c r="A106" s="12" t="inlineStr">
        <is>
          <t>2027-03-29</t>
        </is>
      </c>
      <c r="B106" s="8" t="inlineStr">
        <is>
          <t>周一</t>
        </is>
      </c>
      <c r="C106" s="13" t="inlineStr">
        <is>
          <t>1.高等数学（90分钟）：同济考前调整+易错清单回顾+教材公式速记+库课18套2题（教材二刷·公式速记）</t>
        </is>
      </c>
      <c r="D106" s="14" t="inlineStr">
        <is>
          <t>☐ 未完成</t>
        </is>
      </c>
      <c r="E106" s="15">
        <f>COUNTIF(D106:D109,"☑ 已完成")/COUNTA(C106:C109)</f>
        <v/>
      </c>
      <c r="F106" s="14" t="n"/>
      <c r="G106" s="16" t="inlineStr"/>
    </row>
    <row r="107" ht="36" customHeight="1">
      <c r="C107" s="13" t="inlineStr">
        <is>
          <t>2.专升本英语（75分钟）：锐树网课《二刷·朱版阅读翻译写作》二刷+库课2000题二刷·错题练习</t>
        </is>
      </c>
      <c r="D107" s="14" t="inlineStr">
        <is>
          <t>☐ 未完成</t>
        </is>
      </c>
    </row>
    <row r="108" ht="20" customHeight="1">
      <c r="C108" s="13" t="inlineStr">
        <is>
          <t>3.专升本英语阅读+翻译专项（45分钟）</t>
        </is>
      </c>
      <c r="D108" s="14" t="inlineStr">
        <is>
          <t>☐ 未完成</t>
        </is>
      </c>
    </row>
    <row r="109" ht="20" customHeight="1">
      <c r="C109" s="17" t="inlineStr">
        <is>
          <t>4.词汇（30分钟）：不背单词APP转专升本词本+高频词</t>
        </is>
      </c>
      <c r="D109" s="14" t="inlineStr">
        <is>
          <t>☐ 未完成</t>
        </is>
      </c>
    </row>
    <row r="110" ht="36" customHeight="1">
      <c r="A110" s="12" t="inlineStr">
        <is>
          <t>2027-03-30</t>
        </is>
      </c>
      <c r="B110" s="8" t="inlineStr">
        <is>
          <t>周二</t>
        </is>
      </c>
      <c r="C110" s="13" t="inlineStr">
        <is>
          <t>1.高等数学（75分钟）：错题回顾+库课18套2道新大题+教材回读（公式速记）</t>
        </is>
      </c>
      <c r="D110" s="14" t="inlineStr">
        <is>
          <t>☐ 未完成</t>
        </is>
      </c>
      <c r="E110" s="15">
        <f>COUNTIF(D110:D113,"☑ 已完成")/COUNTA(C110:C113)</f>
        <v/>
      </c>
      <c r="F110" s="14" t="n"/>
      <c r="G110" s="16" t="inlineStr"/>
    </row>
    <row r="111" ht="36" customHeight="1">
      <c r="C111" s="18" t="inlineStr">
        <is>
          <t>2.专升本英语（90分钟）：库课2000题二刷·错题约15题巩固+锐树网课二刷回看</t>
        </is>
      </c>
      <c r="D111" s="14" t="inlineStr">
        <is>
          <t>☐ 未完成</t>
        </is>
      </c>
    </row>
    <row r="112" ht="20" customHeight="1">
      <c r="C112" s="13" t="inlineStr">
        <is>
          <t>3.专升本英语完形+写作专项（45分钟）</t>
        </is>
      </c>
      <c r="D112" s="14" t="inlineStr">
        <is>
          <t>☐ 未完成</t>
        </is>
      </c>
    </row>
    <row r="113" ht="20" customHeight="1">
      <c r="C113" s="17" t="inlineStr">
        <is>
          <t>4.词汇（30分钟）：不背单词APP转专升本词本+高频词</t>
        </is>
      </c>
      <c r="D113" s="14" t="inlineStr">
        <is>
          <t>☐ 未完成</t>
        </is>
      </c>
    </row>
    <row r="114" ht="36" customHeight="1">
      <c r="A114" s="12" t="inlineStr">
        <is>
          <t>2027-03-31</t>
        </is>
      </c>
      <c r="B114" s="8" t="inlineStr">
        <is>
          <t>周三</t>
        </is>
      </c>
      <c r="C114" s="13" t="inlineStr">
        <is>
          <t>1.高等数学（90分钟）：同济考前调整+易错清单回顾+教材公式速记+库课18套2题（教材二刷·公式速记）</t>
        </is>
      </c>
      <c r="D114" s="14" t="inlineStr">
        <is>
          <t>☐ 未完成</t>
        </is>
      </c>
      <c r="E114" s="15">
        <f>COUNTIF(D114:D117,"☑ 已完成")/COUNTA(C114:C117)</f>
        <v/>
      </c>
      <c r="F114" s="14" t="n"/>
      <c r="G114" s="16" t="inlineStr"/>
    </row>
    <row r="115" ht="36" customHeight="1">
      <c r="C115" s="13" t="inlineStr">
        <is>
          <t>2.专升本英语（75分钟）：锐树网课《二刷·朱版阅读翻译写作》二刷+库课2000题二刷·错题练习</t>
        </is>
      </c>
      <c r="D115" s="14" t="inlineStr">
        <is>
          <t>☐ 未完成</t>
        </is>
      </c>
    </row>
    <row r="116" ht="20" customHeight="1">
      <c r="C116" s="13" t="inlineStr">
        <is>
          <t>3.专升本英语阅读+翻译专项（45分钟）</t>
        </is>
      </c>
      <c r="D116" s="14" t="inlineStr">
        <is>
          <t>☐ 未完成</t>
        </is>
      </c>
    </row>
    <row r="117" ht="20" customHeight="1">
      <c r="C117" s="17" t="inlineStr">
        <is>
          <t>4.词汇（30分钟）：不背单词APP转专升本词本+高频词</t>
        </is>
      </c>
      <c r="D117" s="14" t="inlineStr">
        <is>
          <t>☐ 未完成</t>
        </is>
      </c>
    </row>
    <row r="119">
      <c r="A119" s="19" t="inlineStr">
        <is>
          <t>月度汇总</t>
        </is>
      </c>
    </row>
    <row r="120">
      <c r="A120" s="19" t="inlineStr">
        <is>
          <t>已完成</t>
        </is>
      </c>
      <c r="B120">
        <f>COUNTIF(D2:D117,"☑ 已完成")</f>
        <v/>
      </c>
    </row>
    <row r="121">
      <c r="A121" s="19" t="inlineStr">
        <is>
          <t>未完成</t>
        </is>
      </c>
      <c r="B121">
        <f>COUNTIF(D2:D117,"☐ 未完成")</f>
        <v/>
      </c>
    </row>
    <row r="122">
      <c r="A122" s="19" t="inlineStr">
        <is>
          <t>完成率</t>
        </is>
      </c>
      <c r="B122" s="20">
        <f>COUNTIF(D2:D117,"☑ 已完成")/(COUNTIF(D2:D117,"☑ 已完成")+COUNTIF(D2:D117,"☐ 未完成"))</f>
        <v/>
      </c>
    </row>
  </sheetData>
  <mergeCells count="155">
    <mergeCell ref="B66:B69"/>
    <mergeCell ref="E14:E17"/>
    <mergeCell ref="G70:G73"/>
    <mergeCell ref="B52:B53"/>
    <mergeCell ref="A88:A91"/>
    <mergeCell ref="A54:A57"/>
    <mergeCell ref="E48:E51"/>
    <mergeCell ref="G48:G51"/>
    <mergeCell ref="E88:E91"/>
    <mergeCell ref="F26:F27"/>
    <mergeCell ref="A74:A77"/>
    <mergeCell ref="B78:B79"/>
    <mergeCell ref="F110:F113"/>
    <mergeCell ref="F32:F35"/>
    <mergeCell ref="A18:A21"/>
    <mergeCell ref="E40:E43"/>
    <mergeCell ref="B44:B47"/>
    <mergeCell ref="E74:E77"/>
    <mergeCell ref="B84:B87"/>
    <mergeCell ref="G74:G77"/>
    <mergeCell ref="E110:E113"/>
    <mergeCell ref="A2:A5"/>
    <mergeCell ref="F96:F99"/>
    <mergeCell ref="B6:B9"/>
    <mergeCell ref="E2:E5"/>
    <mergeCell ref="G58:G61"/>
    <mergeCell ref="A100:A103"/>
    <mergeCell ref="B80:B83"/>
    <mergeCell ref="A10:A13"/>
    <mergeCell ref="A22:A25"/>
    <mergeCell ref="E66:E69"/>
    <mergeCell ref="F28:F31"/>
    <mergeCell ref="G100:G103"/>
    <mergeCell ref="B104:B105"/>
    <mergeCell ref="F88:F91"/>
    <mergeCell ref="A92:A95"/>
    <mergeCell ref="B26:B27"/>
    <mergeCell ref="F10:F13"/>
    <mergeCell ref="A36:A39"/>
    <mergeCell ref="E92:E95"/>
    <mergeCell ref="B18:B21"/>
    <mergeCell ref="F74:F77"/>
    <mergeCell ref="E78:E79"/>
    <mergeCell ref="G36:G39"/>
    <mergeCell ref="G78:G79"/>
    <mergeCell ref="B106:B109"/>
    <mergeCell ref="B2:B5"/>
    <mergeCell ref="F36:F39"/>
    <mergeCell ref="F18:F21"/>
    <mergeCell ref="E44:E47"/>
    <mergeCell ref="E84:E87"/>
    <mergeCell ref="A26:A27"/>
    <mergeCell ref="F2:F5"/>
    <mergeCell ref="E28:E31"/>
    <mergeCell ref="E6:E9"/>
    <mergeCell ref="B58:B61"/>
    <mergeCell ref="F100:F103"/>
    <mergeCell ref="G6:G9"/>
    <mergeCell ref="G62:G65"/>
    <mergeCell ref="E80:E83"/>
    <mergeCell ref="B28:B31"/>
    <mergeCell ref="G80:G83"/>
    <mergeCell ref="A32:A35"/>
    <mergeCell ref="F22:F25"/>
    <mergeCell ref="E114:E117"/>
    <mergeCell ref="E70:E73"/>
    <mergeCell ref="E104:E105"/>
    <mergeCell ref="G88:G91"/>
    <mergeCell ref="B92:B95"/>
    <mergeCell ref="G104:G105"/>
    <mergeCell ref="E54:E57"/>
    <mergeCell ref="G54:G57"/>
    <mergeCell ref="G114:G117"/>
    <mergeCell ref="E26:E27"/>
    <mergeCell ref="G26:G27"/>
    <mergeCell ref="F62:F65"/>
    <mergeCell ref="A106:A109"/>
    <mergeCell ref="F14:F17"/>
    <mergeCell ref="A52:A53"/>
    <mergeCell ref="B110:B113"/>
    <mergeCell ref="E106:E109"/>
    <mergeCell ref="B54:B57"/>
    <mergeCell ref="G106:G109"/>
    <mergeCell ref="A58:A61"/>
    <mergeCell ref="B32:B35"/>
    <mergeCell ref="A40:A43"/>
    <mergeCell ref="E52:E53"/>
    <mergeCell ref="F48:F51"/>
    <mergeCell ref="G52:G53"/>
    <mergeCell ref="A110:A113"/>
    <mergeCell ref="F40:F43"/>
    <mergeCell ref="A78:A79"/>
    <mergeCell ref="B96:B99"/>
    <mergeCell ref="E58:E61"/>
    <mergeCell ref="A84:A87"/>
    <mergeCell ref="A66:A69"/>
    <mergeCell ref="G28:G31"/>
    <mergeCell ref="F114:F117"/>
    <mergeCell ref="A6:A9"/>
    <mergeCell ref="B88:B91"/>
    <mergeCell ref="A80:A83"/>
    <mergeCell ref="B10:B13"/>
    <mergeCell ref="G14:G17"/>
    <mergeCell ref="F66:F69"/>
    <mergeCell ref="A104:A105"/>
    <mergeCell ref="F52:F53"/>
    <mergeCell ref="B74:B77"/>
    <mergeCell ref="A14:A17"/>
    <mergeCell ref="G110:G113"/>
    <mergeCell ref="E32:E35"/>
    <mergeCell ref="G32:G35"/>
    <mergeCell ref="B36:B39"/>
    <mergeCell ref="A44:A47"/>
    <mergeCell ref="F58:F61"/>
    <mergeCell ref="A62:A65"/>
    <mergeCell ref="E100:E103"/>
    <mergeCell ref="F92:F95"/>
    <mergeCell ref="A28:A31"/>
    <mergeCell ref="E96:E99"/>
    <mergeCell ref="F78:F79"/>
    <mergeCell ref="G96:G99"/>
    <mergeCell ref="B100:B103"/>
    <mergeCell ref="G40:G43"/>
    <mergeCell ref="B22:B25"/>
    <mergeCell ref="E18:E21"/>
    <mergeCell ref="A48:A51"/>
    <mergeCell ref="A114:A117"/>
    <mergeCell ref="F44:F47"/>
    <mergeCell ref="F84:F87"/>
    <mergeCell ref="A70:A73"/>
    <mergeCell ref="G2:G5"/>
    <mergeCell ref="F6:F9"/>
    <mergeCell ref="F80:F83"/>
    <mergeCell ref="B62:B65"/>
    <mergeCell ref="E10:E13"/>
    <mergeCell ref="G10:G13"/>
    <mergeCell ref="B14:B17"/>
    <mergeCell ref="G66:G69"/>
    <mergeCell ref="B70:B73"/>
    <mergeCell ref="G18:G21"/>
    <mergeCell ref="F70:F73"/>
    <mergeCell ref="F104:F105"/>
    <mergeCell ref="B48:B51"/>
    <mergeCell ref="E36:E39"/>
    <mergeCell ref="B40:B43"/>
    <mergeCell ref="G92:G95"/>
    <mergeCell ref="F106:F109"/>
    <mergeCell ref="E22:E25"/>
    <mergeCell ref="G44:G47"/>
    <mergeCell ref="G84:G87"/>
    <mergeCell ref="G22:G25"/>
    <mergeCell ref="B114:B117"/>
    <mergeCell ref="A96:A99"/>
    <mergeCell ref="F54:F57"/>
    <mergeCell ref="E62:E65"/>
  </mergeCells>
  <dataValidations count="1">
    <dataValidation sqref="D2:D117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8" customWidth="1" min="3" max="3"/>
    <col width="10" customWidth="1" min="4" max="4"/>
    <col width="11" customWidth="1" min="5" max="5"/>
    <col width="14" customWidth="1" min="6" max="6"/>
    <col width="22" customWidth="1" min="7" max="7"/>
  </cols>
  <sheetData>
    <row r="1">
      <c r="A1" s="11" t="inlineStr">
        <is>
          <t>日期</t>
        </is>
      </c>
      <c r="B1" s="11" t="inlineStr">
        <is>
          <t>星期</t>
        </is>
      </c>
      <c r="C1" s="11" t="inlineStr">
        <is>
          <t>计划事项</t>
        </is>
      </c>
      <c r="D1" s="11" t="inlineStr">
        <is>
          <t>任务完成</t>
        </is>
      </c>
      <c r="E1" s="11" t="inlineStr">
        <is>
          <t>完成率</t>
        </is>
      </c>
      <c r="F1" s="11" t="inlineStr">
        <is>
          <t>实际完成时间</t>
        </is>
      </c>
      <c r="G1" s="11" t="inlineStr">
        <is>
          <t>备注</t>
        </is>
      </c>
    </row>
    <row r="2" ht="36" customHeight="1">
      <c r="A2" s="12" t="inlineStr">
        <is>
          <t>2027-04-01</t>
        </is>
      </c>
      <c r="B2" s="8" t="inlineStr">
        <is>
          <t>周四</t>
        </is>
      </c>
      <c r="C2" s="13" t="inlineStr">
        <is>
          <t>1.高等数学（75分钟）：错题回顾+库课18套2道新大题+教材回读（公式速记）</t>
        </is>
      </c>
      <c r="D2" s="14" t="inlineStr">
        <is>
          <t>☐ 未完成</t>
        </is>
      </c>
      <c r="E2" s="15">
        <f>COUNTIF(D2:D5,"☑ 已完成")/COUNTA(C2:C5)</f>
        <v/>
      </c>
      <c r="F2" s="14" t="n"/>
      <c r="G2" s="16" t="inlineStr"/>
    </row>
    <row r="3" ht="36" customHeight="1">
      <c r="C3" s="18" t="inlineStr">
        <is>
          <t>2.专升本英语（90分钟）：库课2000题二刷·错题约15题巩固+锐树网课二刷回看</t>
        </is>
      </c>
      <c r="D3" s="14" t="inlineStr">
        <is>
          <t>☐ 未完成</t>
        </is>
      </c>
    </row>
    <row r="4" ht="20" customHeight="1">
      <c r="C4" s="13" t="inlineStr">
        <is>
          <t>3.专升本英语完形+写作专项（45分钟）</t>
        </is>
      </c>
      <c r="D4" s="14" t="inlineStr">
        <is>
          <t>☐ 未完成</t>
        </is>
      </c>
    </row>
    <row r="5" ht="20" customHeight="1">
      <c r="C5" s="17" t="inlineStr">
        <is>
          <t>4.词汇（30分钟）：不背单词APP转专升本词本+高频词</t>
        </is>
      </c>
      <c r="D5" s="14" t="inlineStr">
        <is>
          <t>☐ 未完成</t>
        </is>
      </c>
    </row>
    <row r="6" ht="36" customHeight="1">
      <c r="A6" s="12" t="inlineStr">
        <is>
          <t>2027-04-02</t>
        </is>
      </c>
      <c r="B6" s="8" t="inlineStr">
        <is>
          <t>周五</t>
        </is>
      </c>
      <c r="C6" s="13" t="inlineStr">
        <is>
          <t>1.高等数学（90分钟）：同济全真模考冲刺+易错重做+公式速记+易错清单+库课18套2题（教材二刷·易错清单）</t>
        </is>
      </c>
      <c r="D6" s="14" t="inlineStr">
        <is>
          <t>☐ 未完成</t>
        </is>
      </c>
      <c r="E6" s="15">
        <f>COUNTIF(D6:D9,"☑ 已完成")/COUNTA(C6:C9)</f>
        <v/>
      </c>
      <c r="F6" s="14" t="n"/>
      <c r="G6" s="16" t="inlineStr"/>
    </row>
    <row r="7" ht="36" customHeight="1">
      <c r="C7" s="13" t="inlineStr">
        <is>
          <t>2.专升本英语（75分钟）：锐树网课《三刷·非谓语/时态语态/定语从句》二刷+库课2000题二刷·错题练习</t>
        </is>
      </c>
      <c r="D7" s="14" t="inlineStr">
        <is>
          <t>☐ 未完成</t>
        </is>
      </c>
    </row>
    <row r="8" ht="20" customHeight="1">
      <c r="C8" s="13" t="inlineStr">
        <is>
          <t>3.专升本英语阅读+翻译专项（45分钟）</t>
        </is>
      </c>
      <c r="D8" s="14" t="inlineStr">
        <is>
          <t>☐ 未完成</t>
        </is>
      </c>
    </row>
    <row r="9" ht="20" customHeight="1">
      <c r="C9" s="17" t="inlineStr">
        <is>
          <t>4.词汇（30分钟）：不背单词APP转专升本词本+高频词</t>
        </is>
      </c>
      <c r="D9" s="14" t="inlineStr">
        <is>
          <t>☐ 未完成</t>
        </is>
      </c>
    </row>
    <row r="10" ht="36" customHeight="1">
      <c r="A10" s="12" t="inlineStr">
        <is>
          <t>2027-04-03</t>
        </is>
      </c>
      <c r="B10" s="8" t="inlineStr">
        <is>
          <t>周六</t>
        </is>
      </c>
      <c r="C10" s="13" t="inlineStr">
        <is>
          <t>1.高等数学（75分钟）：错题回顾+库课18套2道新大题+教材回读（易错清单）</t>
        </is>
      </c>
      <c r="D10" s="14" t="inlineStr">
        <is>
          <t>☐ 未完成</t>
        </is>
      </c>
      <c r="E10" s="15">
        <f>COUNTIF(D10:D13,"☑ 已完成")/COUNTA(C10:C13)</f>
        <v/>
      </c>
      <c r="F10" s="14" t="n"/>
      <c r="G10" s="16" t="inlineStr"/>
    </row>
    <row r="11" ht="36" customHeight="1">
      <c r="C11" s="18" t="inlineStr">
        <is>
          <t>2.专升本英语（90分钟）：库课2000题二刷·错题约15题巩固+锐树网课二刷回看</t>
        </is>
      </c>
      <c r="D11" s="14" t="inlineStr">
        <is>
          <t>☐ 未完成</t>
        </is>
      </c>
    </row>
    <row r="12" ht="20" customHeight="1">
      <c r="C12" s="13" t="inlineStr">
        <is>
          <t>3.专升本英语完形+写作专项（45分钟）</t>
        </is>
      </c>
      <c r="D12" s="14" t="inlineStr">
        <is>
          <t>☐ 未完成</t>
        </is>
      </c>
    </row>
    <row r="13" ht="20" customHeight="1">
      <c r="C13" s="17" t="inlineStr">
        <is>
          <t>4.词汇（30分钟）：不背单词APP转专升本词本+高频词</t>
        </is>
      </c>
      <c r="D13" s="14" t="inlineStr">
        <is>
          <t>☐ 未完成</t>
        </is>
      </c>
    </row>
    <row r="14" ht="20" customHeight="1">
      <c r="A14" s="12" t="inlineStr">
        <is>
          <t>2027-04-04</t>
        </is>
      </c>
      <c r="B14" s="8" t="inlineStr">
        <is>
          <t>周日</t>
        </is>
      </c>
      <c r="C14" s="13" t="inlineStr">
        <is>
          <t>1.专升本数学模考：库课18套完整卷第11套2小时估分</t>
        </is>
      </c>
      <c r="D14" s="14" t="inlineStr">
        <is>
          <t>☐ 未完成</t>
        </is>
      </c>
      <c r="E14" s="15">
        <f>COUNTIF(D14:D15,"☑ 已完成")/COUNTA(C14:C15)</f>
        <v/>
      </c>
      <c r="F14" s="14" t="n"/>
      <c r="G14" s="16" t="inlineStr">
        <is>
          <t>模考日</t>
        </is>
      </c>
    </row>
    <row r="15" ht="20" customHeight="1">
      <c r="C15" s="18" t="inlineStr">
        <is>
          <t>2.错题归因+周复盘</t>
        </is>
      </c>
      <c r="D15" s="14" t="inlineStr">
        <is>
          <t>☐ 未完成</t>
        </is>
      </c>
    </row>
    <row r="16" ht="36" customHeight="1">
      <c r="A16" s="12" t="inlineStr">
        <is>
          <t>2027-04-05</t>
        </is>
      </c>
      <c r="B16" s="8" t="inlineStr">
        <is>
          <t>周一</t>
        </is>
      </c>
      <c r="C16" s="13" t="inlineStr">
        <is>
          <t>1.高等数学（90分钟）：同济全真模考冲刺+易错重做+公式速记+易错清单+库课18套2题（教材二刷·易错清单）</t>
        </is>
      </c>
      <c r="D16" s="14" t="inlineStr">
        <is>
          <t>☐ 未完成</t>
        </is>
      </c>
      <c r="E16" s="15">
        <f>COUNTIF(D16:D19,"☑ 已完成")/COUNTA(C16:C19)</f>
        <v/>
      </c>
      <c r="F16" s="14" t="n"/>
      <c r="G16" s="16" t="inlineStr"/>
    </row>
    <row r="17" ht="36" customHeight="1">
      <c r="C17" s="13" t="inlineStr">
        <is>
          <t>2.专升本英语（75分钟）：锐树网课《三刷·非谓语/时态语态/定语从句》二刷+库课2000题二刷·错题练习</t>
        </is>
      </c>
      <c r="D17" s="14" t="inlineStr">
        <is>
          <t>☐ 未完成</t>
        </is>
      </c>
    </row>
    <row r="18" ht="20" customHeight="1">
      <c r="C18" s="13" t="inlineStr">
        <is>
          <t>3.专升本英语阅读+翻译专项（45分钟）</t>
        </is>
      </c>
      <c r="D18" s="14" t="inlineStr">
        <is>
          <t>☐ 未完成</t>
        </is>
      </c>
    </row>
    <row r="19" ht="20" customHeight="1">
      <c r="C19" s="17" t="inlineStr">
        <is>
          <t>4.词汇（30分钟）：不背单词APP转专升本词本+高频词</t>
        </is>
      </c>
      <c r="D19" s="14" t="inlineStr">
        <is>
          <t>☐ 未完成</t>
        </is>
      </c>
    </row>
    <row r="20" ht="36" customHeight="1">
      <c r="A20" s="12" t="inlineStr">
        <is>
          <t>2027-04-06</t>
        </is>
      </c>
      <c r="B20" s="8" t="inlineStr">
        <is>
          <t>周二</t>
        </is>
      </c>
      <c r="C20" s="13" t="inlineStr">
        <is>
          <t>1.高等数学（75分钟）：错题回顾+库课18套2道新大题+教材回读（易错清单）</t>
        </is>
      </c>
      <c r="D20" s="14" t="inlineStr">
        <is>
          <t>☐ 未完成</t>
        </is>
      </c>
      <c r="E20" s="15">
        <f>COUNTIF(D20:D23,"☑ 已完成")/COUNTA(C20:C23)</f>
        <v/>
      </c>
      <c r="F20" s="14" t="n"/>
      <c r="G20" s="16" t="inlineStr"/>
    </row>
    <row r="21" ht="36" customHeight="1">
      <c r="C21" s="18" t="inlineStr">
        <is>
          <t>2.专升本英语（90分钟）：库课2000题二刷·错题约15题巩固+锐树网课二刷回看</t>
        </is>
      </c>
      <c r="D21" s="14" t="inlineStr">
        <is>
          <t>☐ 未完成</t>
        </is>
      </c>
    </row>
    <row r="22" ht="20" customHeight="1">
      <c r="C22" s="13" t="inlineStr">
        <is>
          <t>3.专升本英语完形+写作专项（45分钟）</t>
        </is>
      </c>
      <c r="D22" s="14" t="inlineStr">
        <is>
          <t>☐ 未完成</t>
        </is>
      </c>
    </row>
    <row r="23" ht="20" customHeight="1">
      <c r="C23" s="17" t="inlineStr">
        <is>
          <t>4.词汇（30分钟）：不背单词APP转专升本词本+高频词</t>
        </is>
      </c>
      <c r="D23" s="14" t="inlineStr">
        <is>
          <t>☐ 未完成</t>
        </is>
      </c>
    </row>
    <row r="24" ht="36" customHeight="1">
      <c r="A24" s="12" t="inlineStr">
        <is>
          <t>2027-04-07</t>
        </is>
      </c>
      <c r="B24" s="8" t="inlineStr">
        <is>
          <t>周三</t>
        </is>
      </c>
      <c r="C24" s="13" t="inlineStr">
        <is>
          <t>1.高等数学（90分钟）：同济全真模考冲刺+易错重做+公式速记+易错清单+库课18套2题（教材二刷·易错清单）</t>
        </is>
      </c>
      <c r="D24" s="14" t="inlineStr">
        <is>
          <t>☐ 未完成</t>
        </is>
      </c>
      <c r="E24" s="15">
        <f>COUNTIF(D24:D27,"☑ 已完成")/COUNTA(C24:C27)</f>
        <v/>
      </c>
      <c r="F24" s="14" t="n"/>
      <c r="G24" s="16" t="inlineStr"/>
    </row>
    <row r="25" ht="36" customHeight="1">
      <c r="C25" s="13" t="inlineStr">
        <is>
          <t>2.专升本英语（75分钟）：锐树网课《三刷·非谓语/时态语态/定语从句》二刷+库课2000题二刷·错题练习</t>
        </is>
      </c>
      <c r="D25" s="14" t="inlineStr">
        <is>
          <t>☐ 未完成</t>
        </is>
      </c>
    </row>
    <row r="26" ht="20" customHeight="1">
      <c r="C26" s="13" t="inlineStr">
        <is>
          <t>3.专升本英语阅读+翻译专项（45分钟）</t>
        </is>
      </c>
      <c r="D26" s="14" t="inlineStr">
        <is>
          <t>☐ 未完成</t>
        </is>
      </c>
    </row>
    <row r="27" ht="20" customHeight="1">
      <c r="C27" s="17" t="inlineStr">
        <is>
          <t>4.词汇（30分钟）：不背单词APP转专升本词本+高频词</t>
        </is>
      </c>
      <c r="D27" s="14" t="inlineStr">
        <is>
          <t>☐ 未完成</t>
        </is>
      </c>
    </row>
    <row r="28" ht="36" customHeight="1">
      <c r="A28" s="12" t="inlineStr">
        <is>
          <t>2027-04-08</t>
        </is>
      </c>
      <c r="B28" s="8" t="inlineStr">
        <is>
          <t>周四</t>
        </is>
      </c>
      <c r="C28" s="13" t="inlineStr">
        <is>
          <t>1.高等数学（75分钟）：错题回顾+库课18套2道新大题+教材回读（易错清单）</t>
        </is>
      </c>
      <c r="D28" s="14" t="inlineStr">
        <is>
          <t>☐ 未完成</t>
        </is>
      </c>
      <c r="E28" s="15">
        <f>COUNTIF(D28:D31,"☑ 已完成")/COUNTA(C28:C31)</f>
        <v/>
      </c>
      <c r="F28" s="14" t="n"/>
      <c r="G28" s="16" t="inlineStr"/>
    </row>
    <row r="29" ht="36" customHeight="1">
      <c r="C29" s="18" t="inlineStr">
        <is>
          <t>2.专升本英语（90分钟）：库课2000题二刷·错题约15题巩固+锐树网课二刷回看</t>
        </is>
      </c>
      <c r="D29" s="14" t="inlineStr">
        <is>
          <t>☐ 未完成</t>
        </is>
      </c>
    </row>
    <row r="30" ht="20" customHeight="1">
      <c r="C30" s="13" t="inlineStr">
        <is>
          <t>3.专升本英语完形+写作专项（45分钟）</t>
        </is>
      </c>
      <c r="D30" s="14" t="inlineStr">
        <is>
          <t>☐ 未完成</t>
        </is>
      </c>
    </row>
    <row r="31" ht="20" customHeight="1">
      <c r="C31" s="17" t="inlineStr">
        <is>
          <t>4.词汇（30分钟）：不背单词APP转专升本词本+高频词</t>
        </is>
      </c>
      <c r="D31" s="14" t="inlineStr">
        <is>
          <t>☐ 未完成</t>
        </is>
      </c>
    </row>
    <row r="32" ht="36" customHeight="1">
      <c r="A32" s="12" t="inlineStr">
        <is>
          <t>2027-04-09</t>
        </is>
      </c>
      <c r="B32" s="8" t="inlineStr">
        <is>
          <t>周五</t>
        </is>
      </c>
      <c r="C32" s="13" t="inlineStr">
        <is>
          <t>1.高等数学（90分钟）：同济考前·公式速记+易错清单回顾+库课18套2题（教材二刷·冲刺）</t>
        </is>
      </c>
      <c r="D32" s="14" t="inlineStr">
        <is>
          <t>☐ 未完成</t>
        </is>
      </c>
      <c r="E32" s="15">
        <f>COUNTIF(D32:D35,"☑ 已完成")/COUNTA(C32:C35)</f>
        <v/>
      </c>
      <c r="F32" s="14" t="n"/>
      <c r="G32" s="16" t="inlineStr"/>
    </row>
    <row r="33" ht="36" customHeight="1">
      <c r="C33" s="13" t="inlineStr">
        <is>
          <t>2.专升本英语（75分钟）：锐树网课《冲刺·真题精讲＋模考错题回看＋翻译写作模板》二刷+库课2000题二刷·错题练习</t>
        </is>
      </c>
      <c r="D33" s="14" t="inlineStr">
        <is>
          <t>☐ 未完成</t>
        </is>
      </c>
    </row>
    <row r="34" ht="20" customHeight="1">
      <c r="C34" s="13" t="inlineStr">
        <is>
          <t>3.专升本英语阅读+翻译专项（45分钟）</t>
        </is>
      </c>
      <c r="D34" s="14" t="inlineStr">
        <is>
          <t>☐ 未完成</t>
        </is>
      </c>
    </row>
    <row r="35" ht="20" customHeight="1">
      <c r="C35" s="17" t="inlineStr">
        <is>
          <t>4.词汇（30分钟）：不背单词APP转专升本词本+高频词</t>
        </is>
      </c>
      <c r="D35" s="14" t="inlineStr">
        <is>
          <t>☐ 未完成</t>
        </is>
      </c>
    </row>
    <row r="36" ht="36" customHeight="1">
      <c r="A36" s="12" t="inlineStr">
        <is>
          <t>2027-04-10</t>
        </is>
      </c>
      <c r="B36" s="8" t="inlineStr">
        <is>
          <t>周六</t>
        </is>
      </c>
      <c r="C36" s="13" t="inlineStr">
        <is>
          <t>1.高等数学（75分钟）：错题回顾+库课18套2道新大题+教材回读（冲刺）</t>
        </is>
      </c>
      <c r="D36" s="14" t="inlineStr">
        <is>
          <t>☐ 未完成</t>
        </is>
      </c>
      <c r="E36" s="15">
        <f>COUNTIF(D36:D39,"☑ 已完成")/COUNTA(C36:C39)</f>
        <v/>
      </c>
      <c r="F36" s="14" t="n"/>
      <c r="G36" s="16" t="inlineStr">
        <is>
          <t>专升本候选考试日(以官方为准)</t>
        </is>
      </c>
    </row>
    <row r="37" ht="36" customHeight="1">
      <c r="C37" s="18" t="inlineStr">
        <is>
          <t>2.专升本英语（90分钟）：库课2000题二刷·错题约15题巩固+锐树网课二刷回看</t>
        </is>
      </c>
      <c r="D37" s="14" t="inlineStr">
        <is>
          <t>☐ 未完成</t>
        </is>
      </c>
    </row>
    <row r="38" ht="20" customHeight="1">
      <c r="C38" s="13" t="inlineStr">
        <is>
          <t>3.专升本英语完形+写作专项（45分钟）</t>
        </is>
      </c>
      <c r="D38" s="14" t="inlineStr">
        <is>
          <t>☐ 未完成</t>
        </is>
      </c>
    </row>
    <row r="39" ht="20" customHeight="1">
      <c r="C39" s="17" t="inlineStr">
        <is>
          <t>4.词汇（30分钟）：不背单词APP转专升本词本+高频词</t>
        </is>
      </c>
      <c r="D39" s="14" t="inlineStr">
        <is>
          <t>☐ 未完成</t>
        </is>
      </c>
    </row>
    <row r="40" ht="20" customHeight="1">
      <c r="A40" s="12" t="inlineStr">
        <is>
          <t>2027-04-11</t>
        </is>
      </c>
      <c r="B40" s="8" t="inlineStr">
        <is>
          <t>周日</t>
        </is>
      </c>
      <c r="C40" s="13" t="inlineStr">
        <is>
          <t>1.专升本英语模考：2026年真题（约2小时）</t>
        </is>
      </c>
      <c r="D40" s="14" t="inlineStr">
        <is>
          <t>☐ 未完成</t>
        </is>
      </c>
      <c r="E40" s="15">
        <f>COUNTIF(D40:D41,"☑ 已完成")/COUNTA(C40:C41)</f>
        <v/>
      </c>
      <c r="F40" s="14" t="n"/>
      <c r="G40" s="16" t="inlineStr">
        <is>
          <t>模考日</t>
        </is>
      </c>
    </row>
    <row r="41" ht="20" customHeight="1">
      <c r="C41" s="18" t="inlineStr">
        <is>
          <t>2.错题归因+周复盘</t>
        </is>
      </c>
      <c r="D41" s="14" t="inlineStr">
        <is>
          <t>☐ 未完成</t>
        </is>
      </c>
    </row>
    <row r="42" ht="36" customHeight="1">
      <c r="A42" s="12" t="inlineStr">
        <is>
          <t>2027-04-12</t>
        </is>
      </c>
      <c r="B42" s="8" t="inlineStr">
        <is>
          <t>周一</t>
        </is>
      </c>
      <c r="C42" s="13" t="inlineStr">
        <is>
          <t>1.高等数学（90分钟）：同济考前·公式速记+易错清单回顾+库课18套2题（教材二刷·冲刺）</t>
        </is>
      </c>
      <c r="D42" s="14" t="inlineStr">
        <is>
          <t>☐ 未完成</t>
        </is>
      </c>
      <c r="E42" s="15">
        <f>COUNTIF(D42:D45,"☑ 已完成")/COUNTA(C42:C45)</f>
        <v/>
      </c>
      <c r="F42" s="14" t="n"/>
      <c r="G42" s="16" t="inlineStr"/>
    </row>
    <row r="43" ht="36" customHeight="1">
      <c r="C43" s="13" t="inlineStr">
        <is>
          <t>2.专升本英语（75分钟）：锐树网课《冲刺·真题精讲＋模考错题回看＋翻译写作模板》二刷+库课2000题二刷·错题练习</t>
        </is>
      </c>
      <c r="D43" s="14" t="inlineStr">
        <is>
          <t>☐ 未完成</t>
        </is>
      </c>
    </row>
    <row r="44" ht="20" customHeight="1">
      <c r="C44" s="13" t="inlineStr">
        <is>
          <t>3.专升本英语阅读+翻译专项（45分钟）</t>
        </is>
      </c>
      <c r="D44" s="14" t="inlineStr">
        <is>
          <t>☐ 未完成</t>
        </is>
      </c>
    </row>
    <row r="45" ht="20" customHeight="1">
      <c r="C45" s="17" t="inlineStr">
        <is>
          <t>4.词汇（30分钟）：不背单词APP转专升本词本+高频词</t>
        </is>
      </c>
      <c r="D45" s="14" t="inlineStr">
        <is>
          <t>☐ 未完成</t>
        </is>
      </c>
    </row>
    <row r="46" ht="36" customHeight="1">
      <c r="A46" s="12" t="inlineStr">
        <is>
          <t>2027-04-13</t>
        </is>
      </c>
      <c r="B46" s="8" t="inlineStr">
        <is>
          <t>周二</t>
        </is>
      </c>
      <c r="C46" s="13" t="inlineStr">
        <is>
          <t>1.高等数学（75分钟）：错题回顾+库课18套2道新大题+教材回读（冲刺）</t>
        </is>
      </c>
      <c r="D46" s="14" t="inlineStr">
        <is>
          <t>☐ 未完成</t>
        </is>
      </c>
      <c r="E46" s="15">
        <f>COUNTIF(D46:D49,"☑ 已完成")/COUNTA(C46:C49)</f>
        <v/>
      </c>
      <c r="F46" s="14" t="n"/>
      <c r="G46" s="16" t="inlineStr"/>
    </row>
    <row r="47" ht="36" customHeight="1">
      <c r="C47" s="18" t="inlineStr">
        <is>
          <t>2.专升本英语（90分钟）：库课2000题二刷·错题约15题巩固+锐树网课二刷回看</t>
        </is>
      </c>
      <c r="D47" s="14" t="inlineStr">
        <is>
          <t>☐ 未完成</t>
        </is>
      </c>
    </row>
    <row r="48" ht="20" customHeight="1">
      <c r="C48" s="13" t="inlineStr">
        <is>
          <t>3.专升本英语完形+写作专项（45分钟）</t>
        </is>
      </c>
      <c r="D48" s="14" t="inlineStr">
        <is>
          <t>☐ 未完成</t>
        </is>
      </c>
    </row>
    <row r="49" ht="20" customHeight="1">
      <c r="C49" s="17" t="inlineStr">
        <is>
          <t>4.词汇（30分钟）：不背单词APP转专升本词本+高频词</t>
        </is>
      </c>
      <c r="D49" s="14" t="inlineStr">
        <is>
          <t>☐ 未完成</t>
        </is>
      </c>
    </row>
    <row r="50" ht="36" customHeight="1">
      <c r="A50" s="12" t="inlineStr">
        <is>
          <t>2027-04-14</t>
        </is>
      </c>
      <c r="B50" s="8" t="inlineStr">
        <is>
          <t>周三</t>
        </is>
      </c>
      <c r="C50" s="13" t="inlineStr">
        <is>
          <t>1.高等数学（90分钟）：同济考前·公式速记+易错清单回顾+库课18套2题（教材二刷·冲刺）</t>
        </is>
      </c>
      <c r="D50" s="14" t="inlineStr">
        <is>
          <t>☐ 未完成</t>
        </is>
      </c>
      <c r="E50" s="15">
        <f>COUNTIF(D50:D53,"☑ 已完成")/COUNTA(C50:C53)</f>
        <v/>
      </c>
      <c r="F50" s="14" t="n"/>
      <c r="G50" s="16" t="inlineStr"/>
    </row>
    <row r="51" ht="36" customHeight="1">
      <c r="C51" s="13" t="inlineStr">
        <is>
          <t>2.专升本英语（75分钟）：锐树网课《冲刺·真题精讲＋模考错题回看＋翻译写作模板》二刷+库课2000题二刷·错题练习</t>
        </is>
      </c>
      <c r="D51" s="14" t="inlineStr">
        <is>
          <t>☐ 未完成</t>
        </is>
      </c>
    </row>
    <row r="52" ht="20" customHeight="1">
      <c r="C52" s="13" t="inlineStr">
        <is>
          <t>3.专升本英语阅读+翻译专项（45分钟）</t>
        </is>
      </c>
      <c r="D52" s="14" t="inlineStr">
        <is>
          <t>☐ 未完成</t>
        </is>
      </c>
    </row>
    <row r="53" ht="20" customHeight="1">
      <c r="C53" s="17" t="inlineStr">
        <is>
          <t>4.词汇（30分钟）：不背单词APP转专升本词本+高频词</t>
        </is>
      </c>
      <c r="D53" s="14" t="inlineStr">
        <is>
          <t>☐ 未完成</t>
        </is>
      </c>
    </row>
    <row r="54" ht="36" customHeight="1">
      <c r="A54" s="12" t="inlineStr">
        <is>
          <t>2027-04-15</t>
        </is>
      </c>
      <c r="B54" s="8" t="inlineStr">
        <is>
          <t>周四</t>
        </is>
      </c>
      <c r="C54" s="13" t="inlineStr">
        <is>
          <t>1.高等数学（75分钟）：错题回顾+库课18套2道新大题+教材回读（冲刺）</t>
        </is>
      </c>
      <c r="D54" s="14" t="inlineStr">
        <is>
          <t>☐ 未完成</t>
        </is>
      </c>
      <c r="E54" s="15">
        <f>COUNTIF(D54:D57,"☑ 已完成")/COUNTA(C54:C57)</f>
        <v/>
      </c>
      <c r="F54" s="14" t="n"/>
      <c r="G54" s="16" t="inlineStr"/>
    </row>
    <row r="55" ht="36" customHeight="1">
      <c r="C55" s="18" t="inlineStr">
        <is>
          <t>2.专升本英语（90分钟）：库课2000题二刷·错题约15题巩固+锐树网课二刷回看</t>
        </is>
      </c>
      <c r="D55" s="14" t="inlineStr">
        <is>
          <t>☐ 未完成</t>
        </is>
      </c>
    </row>
    <row r="56" ht="20" customHeight="1">
      <c r="C56" s="13" t="inlineStr">
        <is>
          <t>3.专升本英语完形+写作专项（45分钟）</t>
        </is>
      </c>
      <c r="D56" s="14" t="inlineStr">
        <is>
          <t>☐ 未完成</t>
        </is>
      </c>
    </row>
    <row r="57" ht="20" customHeight="1">
      <c r="C57" s="17" t="inlineStr">
        <is>
          <t>4.词汇（30分钟）：不背单词APP转专升本词本+高频词</t>
        </is>
      </c>
      <c r="D57" s="14" t="inlineStr">
        <is>
          <t>☐ 未完成</t>
        </is>
      </c>
    </row>
    <row r="58" ht="36" customHeight="1">
      <c r="A58" s="12" t="inlineStr">
        <is>
          <t>2027-04-16</t>
        </is>
      </c>
      <c r="B58" s="8" t="inlineStr">
        <is>
          <t>周五</t>
        </is>
      </c>
      <c r="C58" s="13" t="inlineStr">
        <is>
          <t>1.高等数学（90分钟）：同济考前最后冲刺·只做易错+适度休息+库课18套2题（教材二刷·最后冲刺）</t>
        </is>
      </c>
      <c r="D58" s="14" t="inlineStr">
        <is>
          <t>☐ 未完成</t>
        </is>
      </c>
      <c r="E58" s="15">
        <f>COUNTIF(D58:D61,"☑ 已完成")/COUNTA(C58:C61)</f>
        <v/>
      </c>
      <c r="F58" s="14" t="n"/>
      <c r="G58" s="16" t="inlineStr"/>
    </row>
    <row r="59" ht="52" customHeight="1">
      <c r="C59" s="18" t="inlineStr">
        <is>
          <t>2.专升本英语（75分钟）：锐树网课《考前·易错清单＋锐树网课重点回看＋写作模板＋高频词汇冲刺》二刷+库课2000题二刷·错题练习</t>
        </is>
      </c>
      <c r="D59" s="14" t="inlineStr">
        <is>
          <t>☐ 未完成</t>
        </is>
      </c>
    </row>
    <row r="60" ht="20" customHeight="1">
      <c r="C60" s="13" t="inlineStr">
        <is>
          <t>3.专升本英语阅读+翻译专项（45分钟）</t>
        </is>
      </c>
      <c r="D60" s="14" t="inlineStr">
        <is>
          <t>☐ 未完成</t>
        </is>
      </c>
    </row>
    <row r="61" ht="20" customHeight="1">
      <c r="C61" s="17" t="inlineStr">
        <is>
          <t>4.词汇（30分钟）：不背单词APP转专升本词本+高频词</t>
        </is>
      </c>
      <c r="D61" s="14" t="inlineStr">
        <is>
          <t>☐ 未完成</t>
        </is>
      </c>
    </row>
    <row r="62" ht="36" customHeight="1">
      <c r="A62" s="12" t="inlineStr">
        <is>
          <t>2027-04-17</t>
        </is>
      </c>
      <c r="B62" s="8" t="inlineStr">
        <is>
          <t>周六</t>
        </is>
      </c>
      <c r="C62" s="13" t="inlineStr">
        <is>
          <t>【专升本考试日】目标≥360（数学≥220·英语≥140）——考前只回顾易错清单</t>
        </is>
      </c>
      <c r="D62" s="14" t="inlineStr">
        <is>
          <t>☐ 未完成</t>
        </is>
      </c>
      <c r="E62" s="15">
        <f>COUNTIF(D62:D62,"☑ 已完成")/COUNTA(C62:C62)</f>
        <v/>
      </c>
      <c r="F62" s="14" t="n"/>
      <c r="G62" s="16" t="inlineStr">
        <is>
          <t>专升本考试日(参考2026年4/17)</t>
        </is>
      </c>
    </row>
    <row r="64">
      <c r="A64" s="19" t="inlineStr">
        <is>
          <t>月度汇总</t>
        </is>
      </c>
    </row>
    <row r="65">
      <c r="A65" s="19" t="inlineStr">
        <is>
          <t>已完成</t>
        </is>
      </c>
      <c r="B65">
        <f>COUNTIF(D2:D62,"☑ 已完成")</f>
        <v/>
      </c>
    </row>
    <row r="66">
      <c r="A66" s="19" t="inlineStr">
        <is>
          <t>未完成</t>
        </is>
      </c>
      <c r="B66">
        <f>COUNTIF(D2:D62,"☐ 未完成")</f>
        <v/>
      </c>
    </row>
    <row r="67">
      <c r="A67" s="19" t="inlineStr">
        <is>
          <t>完成率</t>
        </is>
      </c>
      <c r="B67" s="20">
        <f>COUNTIF(D2:D62,"☑ 已完成")/(COUNTIF(D2:D62,"☑ 已完成")+COUNTIF(D2:D62,"☐ 未完成"))</f>
        <v/>
      </c>
    </row>
  </sheetData>
  <mergeCells count="80">
    <mergeCell ref="B50:B53"/>
    <mergeCell ref="A54:A57"/>
    <mergeCell ref="B14:B15"/>
    <mergeCell ref="F32:F35"/>
    <mergeCell ref="F46:F49"/>
    <mergeCell ref="F42:F45"/>
    <mergeCell ref="A2:A5"/>
    <mergeCell ref="B6:B9"/>
    <mergeCell ref="E2:E5"/>
    <mergeCell ref="G58:G61"/>
    <mergeCell ref="E16:E19"/>
    <mergeCell ref="B24:B27"/>
    <mergeCell ref="B40:B41"/>
    <mergeCell ref="A10:A13"/>
    <mergeCell ref="F28:F31"/>
    <mergeCell ref="E50:E53"/>
    <mergeCell ref="G50:G53"/>
    <mergeCell ref="B16:B19"/>
    <mergeCell ref="E14:E15"/>
    <mergeCell ref="F10:F13"/>
    <mergeCell ref="A36:A39"/>
    <mergeCell ref="F40:F41"/>
    <mergeCell ref="F16:F19"/>
    <mergeCell ref="E42:E45"/>
    <mergeCell ref="E20:E23"/>
    <mergeCell ref="G36:G39"/>
    <mergeCell ref="B2:B5"/>
    <mergeCell ref="B42:B45"/>
    <mergeCell ref="F36:F39"/>
    <mergeCell ref="F20:F23"/>
    <mergeCell ref="F2:F5"/>
    <mergeCell ref="E28:E31"/>
    <mergeCell ref="E6:E9"/>
    <mergeCell ref="B58:B61"/>
    <mergeCell ref="G6:G9"/>
    <mergeCell ref="E40:E41"/>
    <mergeCell ref="G24:G27"/>
    <mergeCell ref="B28:B31"/>
    <mergeCell ref="A32:A35"/>
    <mergeCell ref="A46:A49"/>
    <mergeCell ref="E54:E57"/>
    <mergeCell ref="G54:G57"/>
    <mergeCell ref="B54:B57"/>
    <mergeCell ref="A58:A61"/>
    <mergeCell ref="B32:B35"/>
    <mergeCell ref="G42:G45"/>
    <mergeCell ref="E58:E61"/>
    <mergeCell ref="F24:F27"/>
    <mergeCell ref="B46:B49"/>
    <mergeCell ref="G28:G31"/>
    <mergeCell ref="A6:A9"/>
    <mergeCell ref="A50:A53"/>
    <mergeCell ref="A14:A15"/>
    <mergeCell ref="B10:B13"/>
    <mergeCell ref="E46:E49"/>
    <mergeCell ref="A42:A45"/>
    <mergeCell ref="F50:F53"/>
    <mergeCell ref="A20:A23"/>
    <mergeCell ref="E32:E35"/>
    <mergeCell ref="F14:F15"/>
    <mergeCell ref="G32:G35"/>
    <mergeCell ref="B36:B39"/>
    <mergeCell ref="F58:F61"/>
    <mergeCell ref="B20:B23"/>
    <mergeCell ref="A28:A31"/>
    <mergeCell ref="G16:G19"/>
    <mergeCell ref="A40:A41"/>
    <mergeCell ref="A24:A27"/>
    <mergeCell ref="E24:E27"/>
    <mergeCell ref="G2:G5"/>
    <mergeCell ref="F6:F9"/>
    <mergeCell ref="A16:A19"/>
    <mergeCell ref="E10:E13"/>
    <mergeCell ref="G10:G13"/>
    <mergeCell ref="G14:G15"/>
    <mergeCell ref="E36:E39"/>
    <mergeCell ref="G20:G23"/>
    <mergeCell ref="G46:G49"/>
    <mergeCell ref="F54:F57"/>
    <mergeCell ref="G40:G41"/>
  </mergeCells>
  <dataValidations count="1">
    <dataValidation sqref="D2:D62" showDropDown="0" showInputMessage="0" showErrorMessage="0" allowBlank="0" type="list">
      <formula1>"☑ 已完成,☐ 未完成"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2026-10-02T06:02:00Z</dcterms:created>
  <dcterms:modified xmlns:dcterms="http://purl.org/dc/terms/" xmlns:xsi="http://www.w3.org/2001/XMLSchema-instance" xsi:type="dcterms:W3CDTF">2026-10-02T06:02:00Z</dcterms:modified>
</cp:coreProperties>
</file>